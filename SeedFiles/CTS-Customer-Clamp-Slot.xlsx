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Library\SeedFiles\"/>
    </mc:Choice>
  </mc:AlternateContent>
  <xr:revisionPtr revIDLastSave="0" documentId="13_ncr:1_{9362FF8A-E4C6-45EC-BAD9-0F016F2FB2D7}" xr6:coauthVersionLast="47" xr6:coauthVersionMax="47" xr10:uidLastSave="{00000000-0000-0000-0000-000000000000}"/>
  <bookViews>
    <workbookView xWindow="-21495" yWindow="0" windowWidth="21600" windowHeight="1129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Sheet1!$A$1:$L$170</definedName>
    <definedName name="_xlnm.Print_Area" localSheetId="0">Sheet1!$A$1:$B$136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5" i="1" l="1"/>
  <c r="K235" i="1"/>
  <c r="J235" i="1"/>
  <c r="I235" i="1"/>
  <c r="H235" i="1"/>
  <c r="G235" i="1"/>
  <c r="F235" i="1"/>
  <c r="E235" i="1"/>
  <c r="D235" i="1"/>
  <c r="C235" i="1"/>
  <c r="L234" i="1"/>
  <c r="J234" i="1"/>
  <c r="G234" i="1"/>
  <c r="E234" i="1"/>
  <c r="L233" i="1"/>
  <c r="K233" i="1"/>
  <c r="J233" i="1"/>
  <c r="I233" i="1"/>
  <c r="H233" i="1"/>
  <c r="G233" i="1"/>
  <c r="F233" i="1"/>
  <c r="E233" i="1"/>
  <c r="D233" i="1"/>
  <c r="C233" i="1"/>
  <c r="H8" i="1"/>
  <c r="C8" i="1"/>
  <c r="G8" i="1"/>
  <c r="L8" i="1"/>
  <c r="K8" i="1"/>
  <c r="J8" i="1"/>
  <c r="F8" i="1"/>
  <c r="E8" i="1"/>
  <c r="I223" i="1"/>
  <c r="D223" i="1"/>
  <c r="L223" i="1"/>
  <c r="K223" i="1"/>
  <c r="J223" i="1"/>
  <c r="H223" i="1"/>
  <c r="G223" i="1"/>
  <c r="F223" i="1"/>
  <c r="E223" i="1"/>
  <c r="C223" i="1"/>
  <c r="L22" i="1"/>
  <c r="K22" i="1"/>
  <c r="J22" i="1"/>
  <c r="I22" i="1"/>
  <c r="H22" i="1"/>
  <c r="G22" i="1"/>
  <c r="F22" i="1"/>
  <c r="E22" i="1"/>
  <c r="D22" i="1"/>
  <c r="C22" i="1"/>
  <c r="B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Joshua Sochanek</author>
  </authors>
  <commentList>
    <comment ref="C224" authorId="0" shapeId="0" xr:uid="{EB1A1DE7-2632-40DB-A4EA-C43D0A8A665B}">
      <text>
        <r>
          <rPr>
            <b/>
            <sz val="9"/>
            <color indexed="81"/>
            <rFont val="Tahoma"/>
            <charset val="1"/>
          </rPr>
          <t>Joshua Sochanek:</t>
        </r>
        <r>
          <rPr>
            <sz val="9"/>
            <color indexed="81"/>
            <rFont val="Tahoma"/>
            <charset val="1"/>
          </rPr>
          <t xml:space="preserve">
To Be Verified</t>
        </r>
      </text>
    </comment>
    <comment ref="H224" authorId="0" shapeId="0" xr:uid="{C6A245F3-6005-4E1A-A268-0E623CB0E58C}">
      <text>
        <r>
          <rPr>
            <b/>
            <sz val="9"/>
            <color indexed="81"/>
            <rFont val="Tahoma"/>
            <charset val="1"/>
          </rPr>
          <t>Joshua Sochanek:</t>
        </r>
        <r>
          <rPr>
            <sz val="9"/>
            <color indexed="81"/>
            <rFont val="Tahoma"/>
            <charset val="1"/>
          </rPr>
          <t xml:space="preserve">
To Be Verified</t>
        </r>
      </text>
    </comment>
  </commentList>
</comments>
</file>

<file path=xl/sharedStrings.xml><?xml version="1.0" encoding="utf-8"?>
<sst xmlns="http://schemas.openxmlformats.org/spreadsheetml/2006/main" count="260" uniqueCount="258">
  <si>
    <t>Customer</t>
  </si>
  <si>
    <t>lwrLength (1)</t>
  </si>
  <si>
    <t>lwrWidth (2)</t>
  </si>
  <si>
    <t>lwrSlotWidth (3)</t>
  </si>
  <si>
    <t>lwrSlotToCenter (4)</t>
  </si>
  <si>
    <t>lwrThk (5)</t>
  </si>
  <si>
    <t>uprLength (6)</t>
  </si>
  <si>
    <t>uprWidth (7)</t>
  </si>
  <si>
    <t>uprSlotWidth (8)</t>
  </si>
  <si>
    <t>uprSlotToCenter (9)</t>
  </si>
  <si>
    <t>uprThk (10)</t>
  </si>
  <si>
    <t>Customer #</t>
  </si>
  <si>
    <t>CTS Start</t>
  </si>
  <si>
    <t>TSG 555</t>
  </si>
  <si>
    <t>Martinrea Icon</t>
  </si>
  <si>
    <t>Martinrea Allfield</t>
  </si>
  <si>
    <t>Martinrea Hopkinsville</t>
  </si>
  <si>
    <t>VanRob Aurora</t>
  </si>
  <si>
    <t>Metalsa Mexico</t>
  </si>
  <si>
    <t>San Luis</t>
  </si>
  <si>
    <t>Benteler Goshen</t>
  </si>
  <si>
    <t>Benteler Mexico</t>
  </si>
  <si>
    <t>Iroquois</t>
  </si>
  <si>
    <t>Victor</t>
  </si>
  <si>
    <t>Presstran</t>
  </si>
  <si>
    <t>P &amp; F</t>
  </si>
  <si>
    <t>Big Rapids Products</t>
  </si>
  <si>
    <t>Electrolux</t>
  </si>
  <si>
    <t>Tennessee Stamping</t>
  </si>
  <si>
    <t>Flex-N-Gate Queretaro</t>
  </si>
  <si>
    <t>Flex-N-Gate San Jose</t>
  </si>
  <si>
    <t>GR Spring and Stamp</t>
  </si>
  <si>
    <t>Sonora</t>
  </si>
  <si>
    <t>Karmax</t>
  </si>
  <si>
    <t>Aisin (200Ton - 800Ton(1207))</t>
  </si>
  <si>
    <t>Aisin (800Ton(1230) - 1200Ton)</t>
  </si>
  <si>
    <t>Benteler Goshen Press 11002</t>
  </si>
  <si>
    <t>E &amp; E Manufacturing &gt;400Ton</t>
  </si>
  <si>
    <t>E &amp; E Manufacturing &lt;400Ton</t>
  </si>
  <si>
    <t>Fisher Dynamics (100,150 &amp; 300 Ton)</t>
  </si>
  <si>
    <t>Fisher Dynamics (All Other Presses)</t>
  </si>
  <si>
    <t>JCI</t>
  </si>
  <si>
    <t>Lear</t>
  </si>
  <si>
    <t>Martinrea Tupelo (250 Ton)</t>
  </si>
  <si>
    <t>Martinrea Tupelo (400/500 Ton)</t>
  </si>
  <si>
    <t>Matcor</t>
  </si>
  <si>
    <t>Metalsa E-Town (Press K3 &amp; K4)</t>
  </si>
  <si>
    <t>Metalsa E-Town (Press K5-9 &amp; K12)</t>
  </si>
  <si>
    <t>Metalsa E-Town (Press K1 &amp; K2)</t>
  </si>
  <si>
    <t>Midway</t>
  </si>
  <si>
    <t>PK USA</t>
  </si>
  <si>
    <t>Sonora (2000 Ton Press)</t>
  </si>
  <si>
    <r>
      <t xml:space="preserve">Tower Auburn - </t>
    </r>
    <r>
      <rPr>
        <b/>
        <u/>
        <sz val="11"/>
        <color theme="1"/>
        <rFont val="Calibri"/>
        <family val="2"/>
        <scheme val="minor"/>
      </rPr>
      <t>Customer See Leader</t>
    </r>
  </si>
  <si>
    <r>
      <t xml:space="preserve">Tower Bardstown - </t>
    </r>
    <r>
      <rPr>
        <b/>
        <u/>
        <sz val="11"/>
        <color theme="1"/>
        <rFont val="Calibri"/>
        <family val="2"/>
        <scheme val="minor"/>
      </rPr>
      <t>Customer See Leader</t>
    </r>
  </si>
  <si>
    <r>
      <t xml:space="preserve">Tower Bluffton - </t>
    </r>
    <r>
      <rPr>
        <b/>
        <u/>
        <sz val="11"/>
        <color theme="1"/>
        <rFont val="Calibri"/>
        <family val="2"/>
        <scheme val="minor"/>
      </rPr>
      <t>Customer See Leader</t>
    </r>
  </si>
  <si>
    <r>
      <t xml:space="preserve">Tower Chicago - </t>
    </r>
    <r>
      <rPr>
        <b/>
        <u/>
        <sz val="11"/>
        <color theme="1"/>
        <rFont val="Calibri"/>
        <family val="2"/>
        <scheme val="minor"/>
      </rPr>
      <t>Customer See Leader</t>
    </r>
  </si>
  <si>
    <r>
      <t xml:space="preserve">Tower Clinton - </t>
    </r>
    <r>
      <rPr>
        <b/>
        <u/>
        <sz val="11"/>
        <color theme="1"/>
        <rFont val="Calibri"/>
        <family val="2"/>
        <scheme val="minor"/>
      </rPr>
      <t>Customer See Leader</t>
    </r>
  </si>
  <si>
    <t>North American Stamping Group (Tennessee North)</t>
  </si>
  <si>
    <t>Ford (Wayne)</t>
  </si>
  <si>
    <t>GM (B2 Press)</t>
  </si>
  <si>
    <t>GM (P5500 Press)</t>
  </si>
  <si>
    <t>L &amp; W (1" Clamp Bolt)</t>
  </si>
  <si>
    <t>L &amp; W (3/4" Clamp Bolt)</t>
  </si>
  <si>
    <t>Martinrea Heavy Stamp (1600T)</t>
  </si>
  <si>
    <t>Martinrea Heavy Stamp (1600T - See Below)</t>
  </si>
  <si>
    <t>Martinrea Tupelo (Cast - 1000/2000/3000 Ton)</t>
  </si>
  <si>
    <t>Martinrea Tupelo (Steel - 1000/2000/3000 Ton)</t>
  </si>
  <si>
    <r>
      <t xml:space="preserve">Tower Elkton - </t>
    </r>
    <r>
      <rPr>
        <b/>
        <u/>
        <sz val="11"/>
        <color theme="1"/>
        <rFont val="Calibri"/>
        <family val="2"/>
        <scheme val="minor"/>
      </rPr>
      <t>Customer See Leader</t>
    </r>
  </si>
  <si>
    <t>Hydro form solutions</t>
  </si>
  <si>
    <t>125/25.4</t>
  </si>
  <si>
    <t>Whirlpool Marion</t>
  </si>
  <si>
    <t>JCI MasterPlate</t>
  </si>
  <si>
    <t>Wico Metal Products</t>
  </si>
  <si>
    <t xml:space="preserve">Gill Mexico </t>
  </si>
  <si>
    <t>Rapid Line</t>
  </si>
  <si>
    <t>Midway Master Plate</t>
  </si>
  <si>
    <t>Electrolux (Memphis Stamping Plant)</t>
  </si>
  <si>
    <t>Toledo Tool &amp; Die Press 56</t>
  </si>
  <si>
    <t>KTH (KMI-6 600 Ton)</t>
  </si>
  <si>
    <t>Advanced Engineering company</t>
  </si>
  <si>
    <t>Anchor Die Technologies</t>
  </si>
  <si>
    <t>Challenge Manufacturing (Plant 4)</t>
  </si>
  <si>
    <t>Martinrea Icon #2</t>
  </si>
  <si>
    <t>Challenge Manufacturing (Plant 1)</t>
  </si>
  <si>
    <t>Tower Meridian HSP04 400 TON</t>
  </si>
  <si>
    <t>Van Rob Richmond Hill (Press# 2217)</t>
  </si>
  <si>
    <t>Martinrea Icon #1</t>
  </si>
  <si>
    <t>Martinrea Icon #16</t>
  </si>
  <si>
    <t>Bowling Green</t>
  </si>
  <si>
    <t>Martinrea Sonora P3</t>
  </si>
  <si>
    <t>Toledo Tool &amp; Die (KMI #3 300 Ton)</t>
  </si>
  <si>
    <t>GeStamp North America</t>
  </si>
  <si>
    <t>GeStamp Mexico</t>
  </si>
  <si>
    <t>GeStamp Transfer Mexico</t>
  </si>
  <si>
    <t>ARJ</t>
  </si>
  <si>
    <t>Cole Tool &amp; Die</t>
  </si>
  <si>
    <t>L &amp; W (1" Clamp Bolt) NO GOOD SEE 88</t>
  </si>
  <si>
    <t>Martinrea Hopkinsville (2700 Ton Komatsu)</t>
  </si>
  <si>
    <t>Walker Corporation</t>
  </si>
  <si>
    <t>Wellington</t>
  </si>
  <si>
    <t xml:space="preserve">  </t>
  </si>
  <si>
    <t>ElringKlinger</t>
  </si>
  <si>
    <t>Fleetwood</t>
  </si>
  <si>
    <t>Tower Meridian Press #1 - #2</t>
  </si>
  <si>
    <t>Tower Meridian Press #C-207, #HSP04, D-213</t>
  </si>
  <si>
    <t>Tower Meridian Press #SE4</t>
  </si>
  <si>
    <t>Tower Auburn - 500 &amp; 800 Ton</t>
  </si>
  <si>
    <t>Lear (TLAHUAC)</t>
  </si>
  <si>
    <t>Martinrea (Detroit)</t>
  </si>
  <si>
    <t>Voestalpine</t>
  </si>
  <si>
    <t>Martinrea (Blanker)</t>
  </si>
  <si>
    <t>CIE Automotive (Pesma Press 38)</t>
  </si>
  <si>
    <t>Tower Clinton (H-line 2000 ton)</t>
  </si>
  <si>
    <t>Tower Clinton (E-line 3000 ton)</t>
  </si>
  <si>
    <t>Van Rob Manchester Volunteer 300 Ton</t>
  </si>
  <si>
    <t>Van Rob Manchester Volunteer 400 Ton</t>
  </si>
  <si>
    <t>Van Rob Manchester Volunteer 600 Ton</t>
  </si>
  <si>
    <t>JCI (1.5 Slot Width)</t>
  </si>
  <si>
    <t>Tower Bardstown (Press 16)</t>
  </si>
  <si>
    <t>Tower Elkton (V-Line)</t>
  </si>
  <si>
    <t>Benteler Hot Stamp</t>
  </si>
  <si>
    <t>Steel Technologies (800 Ton Blanker)</t>
  </si>
  <si>
    <t>Pridgeon &amp; Clay (Manual Clamp Presses)</t>
  </si>
  <si>
    <t>Shiloh (Dickson Division 300 Ton)</t>
  </si>
  <si>
    <t>Tower Elkton (Press B62 300 Ton)</t>
  </si>
  <si>
    <t>Autoneum</t>
  </si>
  <si>
    <t>Van Rob Aurora (Press 215)</t>
  </si>
  <si>
    <t>Van Rob Aurora (Press 223)</t>
  </si>
  <si>
    <t>Tesla (Dies under 3048mm 120in)</t>
  </si>
  <si>
    <t>Tesla (Dies over 3048mm 120in)</t>
  </si>
  <si>
    <t>E &amp; E Transfer Dies</t>
  </si>
  <si>
    <t>Mubea</t>
  </si>
  <si>
    <t>Tower Lenawee B1 1200 Ton Clamp to Plates</t>
  </si>
  <si>
    <t>Tower Lenawee B1 1200 Ton Clamp to Press</t>
  </si>
  <si>
    <t>E &amp; E Transfer Dies 2</t>
  </si>
  <si>
    <t>Tower Bluffton - Press D215 (800 Ton)</t>
  </si>
  <si>
    <t>Shiloh Transfer Die</t>
  </si>
  <si>
    <t>Shiloh Progressive Dies</t>
  </si>
  <si>
    <t>Thai Summit (Plant 1 -Tandem A,B,C,D Lines)</t>
  </si>
  <si>
    <t>Thai Summit (Plant 1 - Transfer 2700)</t>
  </si>
  <si>
    <t>Thai Summit (Plant 1 - Transfer 1500)</t>
  </si>
  <si>
    <t>Thai Summit (Plant 2 - Coil Feed A,B,C,D Lines)</t>
  </si>
  <si>
    <t>Tower Bardstown (Press 1 &amp; 2)</t>
  </si>
  <si>
    <t>Tower Bardstown (Press 4,5,5.5,20-23)</t>
  </si>
  <si>
    <t>Thai Summit (Obsolete, Use #130-133)</t>
  </si>
  <si>
    <t>Cosma Magna Formex PTC &amp; Aida Presses</t>
  </si>
  <si>
    <t>Obsolete - Use #134</t>
  </si>
  <si>
    <t>KTH G &amp; H Line Cast</t>
  </si>
  <si>
    <t>GA Richards Harbor Bliss Press#400 400T</t>
  </si>
  <si>
    <t>GA Richards Harbor Brown &amp; Boggs Press#401 400T</t>
  </si>
  <si>
    <t>GA Richards Harbor Niagra Press#150 150T</t>
  </si>
  <si>
    <t>GA Richards Harbor Bliss Press#152 150T</t>
  </si>
  <si>
    <t>GA Richards Harbor Niagra Press#151 150T</t>
  </si>
  <si>
    <t>GA Richards Harbor Aida 176T</t>
  </si>
  <si>
    <t>Automatic Spring Press#B150</t>
  </si>
  <si>
    <t>Tower Clinton A line press A1</t>
  </si>
  <si>
    <t>Tower Clinton A line press A2-A6</t>
  </si>
  <si>
    <t>Kirchhoff Queretaro (Press#'s 202 thru 206,208 &amp; 222)</t>
  </si>
  <si>
    <t>Tower Chicago (Presses 1,2 &amp; 3)</t>
  </si>
  <si>
    <t>Tower Auburn (1000 Ton)</t>
  </si>
  <si>
    <t>Flex-N-Gate Detroit Press 1 2750T</t>
  </si>
  <si>
    <t>E &amp; E Manufacturing (Press 43 300T)</t>
  </si>
  <si>
    <t>Tower Auburn Press# 28901/28903 1600 Ton</t>
  </si>
  <si>
    <t>L &amp; W Plant1 (Press13 600 Ton)</t>
  </si>
  <si>
    <t>Midway (GTI 2200)</t>
  </si>
  <si>
    <t>Pridgeon &amp; Clay (Auto Clamp Presses 329, 333, 335, 336, 337)</t>
  </si>
  <si>
    <t>Martinrea Shelbyville Press 7 (2000 ton)</t>
  </si>
  <si>
    <t>Adient (Press 5250)</t>
  </si>
  <si>
    <t>AGS (Automotive Systems)</t>
  </si>
  <si>
    <t>Van Rob Tecumseh</t>
  </si>
  <si>
    <t>Kirchhoff Tecumseh (D1 1250 Ton)</t>
  </si>
  <si>
    <t>Tower Elkton Press B54, B55 &amp; B58</t>
  </si>
  <si>
    <t>Tower Elkton Press B56 &amp; B60</t>
  </si>
  <si>
    <t>Adient (Metals Stamping Global)</t>
  </si>
  <si>
    <t>L&amp;W P3 1000Ton Press</t>
  </si>
  <si>
    <t>Acemco (#605 600 ton)</t>
  </si>
  <si>
    <t>Fanello</t>
  </si>
  <si>
    <t>Gedia 1" Tie Down</t>
  </si>
  <si>
    <t>Autotek Press 11,17,18,22,29 and 30</t>
  </si>
  <si>
    <t>Autotek Press 9,10,12,13,14,15,21,23,24,25,26,27,28,31,32,LineA,LineB</t>
  </si>
  <si>
    <t>Autotek Hot Stamp</t>
  </si>
  <si>
    <t>MPI</t>
  </si>
  <si>
    <t>Shape</t>
  </si>
  <si>
    <t>Tenneco Walker-Elkhart (400 Ton)</t>
  </si>
  <si>
    <t>Dennen</t>
  </si>
  <si>
    <t>GE Kentucky</t>
  </si>
  <si>
    <t>Otscon 300 Ton &amp; 97 Ton</t>
  </si>
  <si>
    <t>Otscon 660 Ton</t>
  </si>
  <si>
    <t>Highland Diversified Services</t>
  </si>
  <si>
    <t>FLEX-N-GATE All Plants Except for those Stated</t>
  </si>
  <si>
    <t>Midway (PPI T! 2200Ton)</t>
  </si>
  <si>
    <t>L &amp; W (Plant 2 - 1200 Ton - Verson T1)</t>
  </si>
  <si>
    <t>L&amp;W Plant 2 T3 1700 Ton</t>
  </si>
  <si>
    <t>Flex N Gate (Howard Plant)</t>
  </si>
  <si>
    <t>Electromac 512 Press 800 Ton</t>
  </si>
  <si>
    <t>Lydall S-550</t>
  </si>
  <si>
    <t>Metalsa Hopkinsville All Presses Except H22 @ H25</t>
  </si>
  <si>
    <t>PK USA (200 Ton C Frame)</t>
  </si>
  <si>
    <t>ODM Tool &amp; Manufacturing P10</t>
  </si>
  <si>
    <t>Tower Elkton W-Line</t>
  </si>
  <si>
    <t>JNM</t>
  </si>
  <si>
    <t>Rivian (Komatsu B4T1700-05-120-MF Transfer Press - C Line)</t>
  </si>
  <si>
    <t>Camaco/Amvian</t>
  </si>
  <si>
    <t>Silverton Engineering</t>
  </si>
  <si>
    <t>Thai Summit South Africa 250Ton Press</t>
  </si>
  <si>
    <t>Thai Summit South Africa 300, 600, 1200, 2500Ton</t>
  </si>
  <si>
    <t>Bopp &amp; Busch (Kamatsu AP142 Press - 300 Ton)</t>
  </si>
  <si>
    <t>Gonvarri</t>
  </si>
  <si>
    <t>Gestamp Chattenooga 2</t>
  </si>
  <si>
    <t>GEA Press001 850Ton</t>
  </si>
  <si>
    <t>Mutlimatic Inmetmatic</t>
  </si>
  <si>
    <t>Mutlimatic Inmet</t>
  </si>
  <si>
    <t>Multimatic DS</t>
  </si>
  <si>
    <t>MultimaticButler</t>
  </si>
  <si>
    <t>Walker Corporation Clamp</t>
  </si>
  <si>
    <t>Dexter 1200 Ton</t>
  </si>
  <si>
    <t>Multimatic Toledo Press 101</t>
  </si>
  <si>
    <t>McGREGOR</t>
  </si>
  <si>
    <t>Tower Bardstown 9 &amp; 10</t>
  </si>
  <si>
    <t>Kirchhoff (550 Ton Press)</t>
  </si>
  <si>
    <t>GE Kentucky AP3 1500 Ton</t>
  </si>
  <si>
    <t>Metalsa Hopkinsville H25</t>
  </si>
  <si>
    <t>Metalsa Hopkinsville H22</t>
  </si>
  <si>
    <t>Tesla Eson Mexico (Multiwin R3-1 300Ton)</t>
  </si>
  <si>
    <t>Flex-N-Gate San Jose #42 2750</t>
  </si>
  <si>
    <t>Erdrich (UMFORMTECHNIK DUBLIN - ERFURT PRESS 500T)</t>
  </si>
  <si>
    <t>Mico Industries</t>
  </si>
  <si>
    <t>Williamsburg (Magna)</t>
  </si>
  <si>
    <t>Metalsa Apodaca WW &amp; CO (Hydroform pre-form press)</t>
  </si>
  <si>
    <t>Toledo # 106 3000 Ton Hitachi Zosen Fukui</t>
  </si>
  <si>
    <t>Teijin Automotive Technologies</t>
  </si>
  <si>
    <t>Schaller Group Presses</t>
  </si>
  <si>
    <t>Stanco</t>
  </si>
  <si>
    <t>Metalsa (Apodaca)</t>
  </si>
  <si>
    <t>Ridgeview Industries</t>
  </si>
  <si>
    <t>GeStamp West Virginia</t>
  </si>
  <si>
    <t>Automation Tool &amp; Die</t>
  </si>
  <si>
    <t>E &amp; E Manufacturing (Athens P15 1500 Ton, P17 1700 Ton)</t>
  </si>
  <si>
    <t>Date Added</t>
  </si>
  <si>
    <t>2024 02 05</t>
  </si>
  <si>
    <t>BIG 3 Centralia 400 Ton</t>
  </si>
  <si>
    <t>2024 02 21</t>
  </si>
  <si>
    <t>Camaco - Mexico</t>
  </si>
  <si>
    <t>2024 02 27</t>
  </si>
  <si>
    <t>Orick Press 115 1000Ton</t>
  </si>
  <si>
    <t>Great Lakes Metal Stamping</t>
  </si>
  <si>
    <t>Henderson Stamping &amp; Production, Inc</t>
  </si>
  <si>
    <t>2026 03 11</t>
  </si>
  <si>
    <t>Ford - Dearborn Stamping Plant - DSP AP4</t>
  </si>
  <si>
    <t>2026 03 16</t>
  </si>
  <si>
    <t>Montezuma-Fagor Transfer Press</t>
  </si>
  <si>
    <t>2026 04 21</t>
  </si>
  <si>
    <t>Kirchoff (Manchester) P211 1200 Ton</t>
  </si>
  <si>
    <t>2026 06 05</t>
  </si>
  <si>
    <t>2026 10 13</t>
  </si>
  <si>
    <t>GE Kentucky (Aida Transfer Press 500, 1200 Ton)</t>
  </si>
  <si>
    <t>2026 10 28</t>
  </si>
  <si>
    <t>Autokiniton (Belleville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</si>
</sst>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2" fillId="0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2" fillId="0" borderId="1" xfId="1" applyNumberFormat="1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2" fillId="0" borderId="1" xfId="1" applyFill="1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1" xfId="1" applyBorder="1"/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2" fillId="0" borderId="0" xfId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>
          <bgColor theme="4" tint="0.79998168889431442"/>
        </patternFill>
      </fill>
    </dxf>
    <dxf>
      <font>
        <color rgb="FFFF0000"/>
      </font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258762</xdr:colOff>
      <xdr:row>2</xdr:row>
      <xdr:rowOff>105833</xdr:rowOff>
    </xdr:from>
    <xdr:to>
      <xdr:col>21</xdr:col>
      <xdr:colOff>369534</xdr:colOff>
      <xdr:row>20</xdr:row>
      <xdr:rowOff>10082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9512" y="486833"/>
          <a:ext cx="5873266" cy="3333249"/>
        </a:xfrm>
        <a:prstGeom prst="rect">
          <a:avLst/>
        </a:prstGeom>
      </xdr:spPr>
    </xdr:pic>
    <xdr:clientData/>
  </xdr:twoCellAnchor>
  <xdr:twoCellAnchor editAs="oneCell">
    <xdr:from>
      <xdr:col>12</xdr:col>
      <xdr:colOff>141816</xdr:colOff>
      <xdr:row>48</xdr:row>
      <xdr:rowOff>11641</xdr:rowOff>
    </xdr:from>
    <xdr:to>
      <xdr:col>21</xdr:col>
      <xdr:colOff>252457</xdr:colOff>
      <xdr:row>65</xdr:row>
      <xdr:rowOff>106390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43566" y="9346141"/>
          <a:ext cx="5873265" cy="3333249"/>
        </a:xfrm>
        <a:prstGeom prst="rect">
          <a:avLst/>
        </a:prstGeom>
      </xdr:spPr>
    </xdr:pic>
    <xdr:clientData/>
  </xdr:twoCellAnchor>
  <xdr:twoCellAnchor editAs="oneCell">
    <xdr:from>
      <xdr:col>12</xdr:col>
      <xdr:colOff>61383</xdr:colOff>
      <xdr:row>87</xdr:row>
      <xdr:rowOff>40216</xdr:rowOff>
    </xdr:from>
    <xdr:to>
      <xdr:col>21</xdr:col>
      <xdr:colOff>172024</xdr:colOff>
      <xdr:row>104</xdr:row>
      <xdr:rowOff>134965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63133" y="16804216"/>
          <a:ext cx="5873265" cy="3333249"/>
        </a:xfrm>
        <a:prstGeom prst="rect">
          <a:avLst/>
        </a:prstGeom>
      </xdr:spPr>
    </xdr:pic>
    <xdr:clientData/>
  </xdr:twoCellAnchor>
  <xdr:twoCellAnchor editAs="oneCell">
    <xdr:from>
      <xdr:col>12</xdr:col>
      <xdr:colOff>84667</xdr:colOff>
      <xdr:row>131</xdr:row>
      <xdr:rowOff>158750</xdr:rowOff>
    </xdr:from>
    <xdr:to>
      <xdr:col>21</xdr:col>
      <xdr:colOff>195308</xdr:colOff>
      <xdr:row>149</xdr:row>
      <xdr:rowOff>62999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86417" y="25304750"/>
          <a:ext cx="5873265" cy="3333249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154</xdr:row>
      <xdr:rowOff>179916</xdr:rowOff>
    </xdr:from>
    <xdr:to>
      <xdr:col>21</xdr:col>
      <xdr:colOff>205891</xdr:colOff>
      <xdr:row>172</xdr:row>
      <xdr:rowOff>84165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191807-9220-4F60-B267-4FC17A34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21417" y="29707416"/>
          <a:ext cx="5873266" cy="3333249"/>
        </a:xfrm>
        <a:prstGeom prst="rect">
          <a:avLst/>
        </a:prstGeom>
      </xdr:spPr>
    </xdr:pic>
    <xdr:clientData/>
  </xdr:twoCellAnchor>
  <xdr:twoCellAnchor editAs="oneCell">
    <xdr:from>
      <xdr:col>12</xdr:col>
      <xdr:colOff>183885</xdr:colOff>
      <xdr:row>192</xdr:row>
      <xdr:rowOff>48947</xdr:rowOff>
    </xdr:from>
    <xdr:to>
      <xdr:col>21</xdr:col>
      <xdr:colOff>294526</xdr:colOff>
      <xdr:row>209</xdr:row>
      <xdr:rowOff>143696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923D5F-9D25-4EC4-A174-7DF1F2E5C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16729" y="36624947"/>
          <a:ext cx="5813735" cy="3333249"/>
        </a:xfrm>
        <a:prstGeom prst="rect">
          <a:avLst/>
        </a:prstGeom>
      </xdr:spPr>
    </xdr:pic>
    <xdr:clientData/>
  </xdr:twoCellAnchor>
  <xdr:twoCellAnchor editAs="oneCell">
    <xdr:from>
      <xdr:col>13</xdr:col>
      <xdr:colOff>17198</xdr:colOff>
      <xdr:row>218</xdr:row>
      <xdr:rowOff>96572</xdr:rowOff>
    </xdr:from>
    <xdr:to>
      <xdr:col>22</xdr:col>
      <xdr:colOff>365964</xdr:colOff>
      <xdr:row>236</xdr:row>
      <xdr:rowOff>821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61AD8B-E18B-4555-8FE5-09B6A7BE7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19698" y="41625572"/>
          <a:ext cx="5813735" cy="3333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../../../../../../../../../../../../../../../../../0Library/SeedFiles/ClampFeetDocs/ShapeLwrClampFoot.PNG" TargetMode="External"/><Relationship Id="rId21" Type="http://schemas.openxmlformats.org/officeDocument/2006/relationships/hyperlink" Target="../../../../../../../../../../../../../../../../../../../../../../../0Library/SeedFiles/ClampFeetDocs/MAGNA%20AUTOTEK.pptx" TargetMode="External"/><Relationship Id="rId42" Type="http://schemas.openxmlformats.org/officeDocument/2006/relationships/hyperlink" Target="../../../../../../../../../../../../../../../../../../../../../../../0Library/SeedFiles/ClampFeetDocs/184%20-%20Lydall%20S-550.PNG" TargetMode="External"/><Relationship Id="rId47" Type="http://schemas.openxmlformats.org/officeDocument/2006/relationships/hyperlink" Target="../../../../../../../../../../../../../../../../../../../../../../../0Library/SeedFiles/ClampFeetDocs/109%20-%20Tower%20Elkton%20V-Line.PNG" TargetMode="External"/><Relationship Id="rId63" Type="http://schemas.openxmlformats.org/officeDocument/2006/relationships/hyperlink" Target="../../../../../../../../../../../../../../../../../../../../../../../0Library/SeedFiles/ClampFeetDocs/Walker%20Corp%20Clamp%20Info.JPG" TargetMode="External"/><Relationship Id="rId68" Type="http://schemas.openxmlformats.org/officeDocument/2006/relationships/hyperlink" Target="../../../../../../../../../../../../../../../../../../../../../../../0Library/SeedFiles/ClampFeetDocs/McGREGOR.JPG" TargetMode="External"/><Relationship Id="rId84" Type="http://schemas.openxmlformats.org/officeDocument/2006/relationships/vmlDrawing" Target="../drawings/vmlDrawing1.vml"/><Relationship Id="rId16" Type="http://schemas.openxmlformats.org/officeDocument/2006/relationships/hyperlink" Target="../../../../../../../../../../../../../../../../../../../../../../../0Library/SeedFiles/ClampFeetDocs/AGS.JPG" TargetMode="External"/><Relationship Id="rId11" Type="http://schemas.openxmlformats.org/officeDocument/2006/relationships/hyperlink" Target="../../../../../../../../../../../../../../../../../../../../../../../0Library/SeedFiles/ClampFeetDocs/Kirchhoff%20Queretaro%20Presses202thru206-208-222.JPG" TargetMode="External"/><Relationship Id="rId32" Type="http://schemas.openxmlformats.org/officeDocument/2006/relationships/hyperlink" Target="../../../../../../../../../../../../../../../../../../../../../../../0Library/SeedFiles/ClampFeetDocs/Otscon_660Ton_Press.pdf" TargetMode="External"/><Relationship Id="rId37" Type="http://schemas.openxmlformats.org/officeDocument/2006/relationships/hyperlink" Target="../../../../../../../../../../../../../../../../../../../../../../../0Library/SeedFiles/ClampFeetDocs/Midway_PPI_T1_2200Ton.JPG" TargetMode="External"/><Relationship Id="rId53" Type="http://schemas.openxmlformats.org/officeDocument/2006/relationships/hyperlink" Target="../../../../../../../../../../../../../../../../../../../../../../../0Library/SeedFiles/ClampFeetDocs/Thai%20Summit%20South%20Africa%20250Ton%20Prress.JPG" TargetMode="External"/><Relationship Id="rId58" Type="http://schemas.openxmlformats.org/officeDocument/2006/relationships/hyperlink" Target="../../../../../../../../../../../../../../../../../../../../../../../0Library/SeedFiles/ClampFeetDocs/GEA_From_RFQ_Die_STD..JPG" TargetMode="External"/><Relationship Id="rId74" Type="http://schemas.openxmlformats.org/officeDocument/2006/relationships/hyperlink" Target="../../../../../../../../../../../../../../../../../../../../../../../0Library/SeedFiles/ClampFeetDocs/Metalsa_Hopkinsville_rev52.JPG" TargetMode="External"/><Relationship Id="rId79" Type="http://schemas.openxmlformats.org/officeDocument/2006/relationships/hyperlink" Target="../../../../../../../../../../../../../../../../../../../../../../../0Library/SeedFiles/ClampFeetDocs/Metalsa%20Apodaca%20WW%20&amp;%20CO%20Press%20Clamp%20Dims.jpeg" TargetMode="External"/><Relationship Id="rId5" Type="http://schemas.openxmlformats.org/officeDocument/2006/relationships/hyperlink" Target="../../../../../../../../../../../../../../../../../../../../../../../0Library/SeedFiles/ClampFeetDocs/GA%20PRESS.JPG" TargetMode="External"/><Relationship Id="rId19" Type="http://schemas.openxmlformats.org/officeDocument/2006/relationships/hyperlink" Target="../../../../../../../../../../../../../../../../../../../../../../../0Library/SeedFiles/ClampFeetDocs/Kirchhoff%20Tecumseh%20(D1%201250%20Ton).pdf" TargetMode="External"/><Relationship Id="rId14" Type="http://schemas.openxmlformats.org/officeDocument/2006/relationships/hyperlink" Target="file:///\\CTS-SERVER\CadData\0Library\SeedFiles\ClampFeetDocs\Martinrea%20Shelbyville%20Press%207%20(2000%20ton).txt" TargetMode="External"/><Relationship Id="rId22" Type="http://schemas.openxmlformats.org/officeDocument/2006/relationships/hyperlink" Target="../../../../../../../../../../../../../../../../../../../../../../../0Library/SeedFiles/ClampFeetDocs/Acemco.txt" TargetMode="External"/><Relationship Id="rId27" Type="http://schemas.openxmlformats.org/officeDocument/2006/relationships/hyperlink" Target="../../../../../../../../../../../../../../../../../../../../../../../0Library/SeedFiles/ClampFeetDocs/Tenneco%20Walker-Elkhart%20400%20Ton.docx" TargetMode="External"/><Relationship Id="rId30" Type="http://schemas.openxmlformats.org/officeDocument/2006/relationships/hyperlink" Target="../../../../../../../../../../../../../../../../../../../../../../../0Library/SeedFiles/ClampFeetDocs/Tower%20Bardstown%20Press%201%20and%202.docx" TargetMode="External"/><Relationship Id="rId35" Type="http://schemas.openxmlformats.org/officeDocument/2006/relationships/hyperlink" Target="../../../../../../../../../../../../../../../../../../../../../../../0Library/SeedFiles/ClampFeetDocs/Autotek_PLA-21_pg42.xlsx" TargetMode="External"/><Relationship Id="rId43" Type="http://schemas.openxmlformats.org/officeDocument/2006/relationships/hyperlink" Target="../../../../../../../../../../../../../../../../../../../../../../../0Library/SeedFiles/ClampFeetDocs/Metalsa_Hopkinsville_rev52.JPG" TargetMode="External"/><Relationship Id="rId48" Type="http://schemas.openxmlformats.org/officeDocument/2006/relationships/hyperlink" Target="../../../../../../../../../../../../../../../../../../../../../../../0Library/SeedFiles/ClampFeetDocs/ODM%20P10%201000Ton.JPG" TargetMode="External"/><Relationship Id="rId56" Type="http://schemas.openxmlformats.org/officeDocument/2006/relationships/hyperlink" Target="../../../../../../../../../../../../../../../../../../../../../../../0Library/SeedFiles/ClampFeetDocs/Gonvarri_Clamp_Specs.pptx" TargetMode="External"/><Relationship Id="rId64" Type="http://schemas.openxmlformats.org/officeDocument/2006/relationships/hyperlink" Target="../../../../../../../../../../../../../../../../../../../../../../../0Library/SeedFiles/ClampFeetDocs/DEXTER%201200ton%20clamp_.xls" TargetMode="External"/><Relationship Id="rId69" Type="http://schemas.openxmlformats.org/officeDocument/2006/relationships/hyperlink" Target="../../../../../../../../../../../../../../../../../../../../../../../0Library/SeedFiles/ClampFeetDocs/209%20-%20Kirchhoff%20550%20Ton%20Press.docx" TargetMode="External"/><Relationship Id="rId77" Type="http://schemas.openxmlformats.org/officeDocument/2006/relationships/hyperlink" Target="../../../../../../../../../../../../../../../../../../../../../../../0Library/SeedFiles/ClampFeetDocs/Mico%20Industries.JPG" TargetMode="External"/><Relationship Id="rId8" Type="http://schemas.openxmlformats.org/officeDocument/2006/relationships/hyperlink" Target="../../../../../../../../../../../../../../../../../../../../../../../0Library/SeedFiles/ClampFeetDocs/GA%20PRESS.JPG" TargetMode="External"/><Relationship Id="rId51" Type="http://schemas.openxmlformats.org/officeDocument/2006/relationships/hyperlink" Target="../../../../../../../../../../../../../../../../../../../../../../../0Library/SeedFiles/ClampFeetDocs/Camaco-Amvian.JPG" TargetMode="External"/><Relationship Id="rId72" Type="http://schemas.openxmlformats.org/officeDocument/2006/relationships/hyperlink" Target="../../../../../../../../../../../../../../../../../../../../../../../0Library/SeedFiles/ClampFeetDocs/Van%20Rob%20Aurora%20clamping%20and%20hilo%20info.txt" TargetMode="External"/><Relationship Id="rId80" Type="http://schemas.openxmlformats.org/officeDocument/2006/relationships/hyperlink" Target="../../../../../../../../../../../../../../../../../../../../../../../0Library/SeedFiles/ClampFeetDocs/Toledo%20Clamp%20Specs%20for%201000%203000%20presses.xlsx" TargetMode="External"/><Relationship Id="rId85" Type="http://schemas.openxmlformats.org/officeDocument/2006/relationships/comments" Target="../comments1.xml"/><Relationship Id="rId3" Type="http://schemas.openxmlformats.org/officeDocument/2006/relationships/hyperlink" Target="../../../../../../../../../../../../../../../../../../../../../../../0Library/SeedFiles/ClampFeetDocs/GA%20PRESS.JPG" TargetMode="External"/><Relationship Id="rId12" Type="http://schemas.openxmlformats.org/officeDocument/2006/relationships/hyperlink" Target="../../../../../../../../../../../../../../../../../../../../../../../0Library/SeedFiles/ClampFeetDocs/Tower%20Auburn%201000%20Ton.JPG" TargetMode="External"/><Relationship Id="rId17" Type="http://schemas.openxmlformats.org/officeDocument/2006/relationships/hyperlink" Target="../../../../../../../../../../../../../../../../../../../../../../../0Library/SeedFiles/ClampFeetDocs/Pages%20from%20UPDATED%20FORMEX%20DIE%20STD_September-2017%20R1.pdf" TargetMode="External"/><Relationship Id="rId25" Type="http://schemas.openxmlformats.org/officeDocument/2006/relationships/hyperlink" Target="../../../../../../../../../../../../../../../../../../../../../../../0Library/SeedFiles/ClampFeetDocs/MPI-Page_33_rev02JPG.JPG" TargetMode="External"/><Relationship Id="rId33" Type="http://schemas.openxmlformats.org/officeDocument/2006/relationships/hyperlink" Target="../../../../../../../../../../../../../../../../../../../../../../../0Library/SeedFiles/ClampFeetDocs/Highland%20Diversified%20Services.docx" TargetMode="External"/><Relationship Id="rId38" Type="http://schemas.openxmlformats.org/officeDocument/2006/relationships/hyperlink" Target="../../../../../../../../../../../../../../../../../../../../../../../0Library/SeedFiles/ClampFeetDocs/L%20&amp;%20W%20(Plant%202%20-%201200%20Ton%20-%20Verson%20T1).PNG" TargetMode="External"/><Relationship Id="rId46" Type="http://schemas.openxmlformats.org/officeDocument/2006/relationships/hyperlink" Target="../../../../../../../../../../../../../../../../../../../../../../../0Library/SeedFiles/ClampFeetDocs/32%20-%20Metalsa%20E-Town%20(Press%20K3%20&amp;%20K4).PNG" TargetMode="External"/><Relationship Id="rId59" Type="http://schemas.openxmlformats.org/officeDocument/2006/relationships/hyperlink" Target="../../../../../../../../../../../../../../../../../../../../../../../0Library/SeedFiles/ClampFeetDocs/Multimatic_Page13_14.JPG" TargetMode="External"/><Relationship Id="rId67" Type="http://schemas.openxmlformats.org/officeDocument/2006/relationships/hyperlink" Target="../../../../../../../../../../../../../../../../../../../../../../../0Library/SeedFiles/ClampFeetDocs/Multimatic%20Toledo%20Press%20101.JPG" TargetMode="External"/><Relationship Id="rId20" Type="http://schemas.openxmlformats.org/officeDocument/2006/relationships/hyperlink" Target="../../../../../../../../../../../../../../../../../../../../../../../0Library/SeedFiles/ClampFeetDocs/AE_Metals%20Stamping%20Global_2012%2021.pdf" TargetMode="External"/><Relationship Id="rId41" Type="http://schemas.openxmlformats.org/officeDocument/2006/relationships/hyperlink" Target="../../../../../../../../../../../../../../../../../../../../../../../0Library/SeedFiles/ClampFeetDocs/Electromac_512_Press.JPG" TargetMode="External"/><Relationship Id="rId54" Type="http://schemas.openxmlformats.org/officeDocument/2006/relationships/hyperlink" Target="../../../../../../../../../../../../../../../../../../../../../../../0Library/SeedFiles/ClampFeetDocs/Thai%20Summit%20South%20Africa%20300,%20600,%201200,%202500Ton%20Press%20Lower.JPG" TargetMode="External"/><Relationship Id="rId62" Type="http://schemas.openxmlformats.org/officeDocument/2006/relationships/hyperlink" Target="../../../../../../../../../../../../../../../../../../../../../../../0Library/SeedFiles/ClampFeetDocs/Multimatic_Page13_14.JPG" TargetMode="External"/><Relationship Id="rId70" Type="http://schemas.openxmlformats.org/officeDocument/2006/relationships/hyperlink" Target="../../../../../../../../../../../../../../../../../../../../../../../0Library/SeedFiles/ClampFeetDocs/Flex%20N%20Gate%20Detroit%20Schuler%202750%20ton.JPG" TargetMode="External"/><Relationship Id="rId75" Type="http://schemas.openxmlformats.org/officeDocument/2006/relationships/hyperlink" Target="../../../../../../../../../../../../../../../../../../../../../../../0Library/SeedFiles/ClampFeetDocs/213%20-%20Tesla%20Eson%20Mexico.docx" TargetMode="External"/><Relationship Id="rId83" Type="http://schemas.openxmlformats.org/officeDocument/2006/relationships/drawing" Target="../drawings/drawing1.xml"/><Relationship Id="rId1" Type="http://schemas.openxmlformats.org/officeDocument/2006/relationships/hyperlink" Target="../../../../../../../../../../../../../../../../../../../../../../../0Library/SeedFiles/ClampFeetDocs/Shiloh%20Clamp%20Feet%20Specs.docx" TargetMode="External"/><Relationship Id="rId6" Type="http://schemas.openxmlformats.org/officeDocument/2006/relationships/hyperlink" Target="../../../../../../../../../../../../../../../../../../../../../../../0Library/SeedFiles/ClampFeetDocs/GA%20PRESS.JPG" TargetMode="External"/><Relationship Id="rId15" Type="http://schemas.openxmlformats.org/officeDocument/2006/relationships/hyperlink" Target="../../../../../../../../../../../../../../../../../../../../../../../0Library/SeedFiles/ClampFeetDocs/Shiloh%20Progressive%20Dies.pdf" TargetMode="External"/><Relationship Id="rId23" Type="http://schemas.openxmlformats.org/officeDocument/2006/relationships/hyperlink" Target="../../../../../../../../../../../../../../../../../../../../../../../0Library/SeedFiles/ClampFeetDocs/Fanello%20Die%20Mounting.pptx" TargetMode="External"/><Relationship Id="rId28" Type="http://schemas.openxmlformats.org/officeDocument/2006/relationships/hyperlink" Target="../../../../../../../../../../../../../../../../../../../../../../../0Library/SeedFiles/ClampFeetDocs/Wellington%20OWI-022%20Die%20Standards%204.0_Page-16.doc" TargetMode="External"/><Relationship Id="rId36" Type="http://schemas.openxmlformats.org/officeDocument/2006/relationships/hyperlink" Target="../../../../../../../../../../../../../../../../../../../../../../../0Library/SeedFiles/ClampFeetDocs/F-N-G%20Globel%20Standards%20REV5%201%20JULY%2019.PNG" TargetMode="External"/><Relationship Id="rId49" Type="http://schemas.openxmlformats.org/officeDocument/2006/relationships/hyperlink" Target="../../../../../../../../../../../../../../../../../../../../../../../0Library/SeedFiles/ClampFeetDocs/Tower%20Elkton%20W-Line.JPG" TargetMode="External"/><Relationship Id="rId57" Type="http://schemas.openxmlformats.org/officeDocument/2006/relationships/hyperlink" Target="../../../../../../../../../../../../../../../../../../../../../../../0Library/SeedFiles/ClampFeetDocs/GestampChattenooga2ClampSpecs.JPG" TargetMode="External"/><Relationship Id="rId10" Type="http://schemas.openxmlformats.org/officeDocument/2006/relationships/hyperlink" Target="../../../../../../../../../../../../../../../../../../../../../../../0Library/SeedFiles/ClampFeetDocs/Tower%20Clinton%20A%20line%20press%20A2-A6.JPG" TargetMode="External"/><Relationship Id="rId31" Type="http://schemas.openxmlformats.org/officeDocument/2006/relationships/hyperlink" Target="../../../../../../../../../../../../../../../../../../../../../../../0Library/SeedFiles/ClampFeetDocs/GE%20Kentucky.PNG" TargetMode="External"/><Relationship Id="rId44" Type="http://schemas.openxmlformats.org/officeDocument/2006/relationships/hyperlink" Target="../../../../../../../../../../../../../../../../../../../../../../../0Library/SeedFiles/ClampFeetDocs/GeStamp%20Mexico%20CustomerNo%2083.docx" TargetMode="External"/><Relationship Id="rId52" Type="http://schemas.openxmlformats.org/officeDocument/2006/relationships/hyperlink" Target="../../../../../../../../../../../../../../../../../../../../../../../0Library/SeedFiles/ClampFeetDocs/192%20-%20Silverton%20Engineering%20Clamp%20Feet%20(FR-944-025-TOOLING%20GUIDELINE.JPG" TargetMode="External"/><Relationship Id="rId60" Type="http://schemas.openxmlformats.org/officeDocument/2006/relationships/hyperlink" Target="../../../../../../../../../../../../../../../../../../../../../../../0Library/SeedFiles/ClampFeetDocs/Multimatic_Page13_14.JPG" TargetMode="External"/><Relationship Id="rId65" Type="http://schemas.openxmlformats.org/officeDocument/2006/relationships/hyperlink" Target="../../../../../../../../../../../../../../../../../../../../../../../0Library/SeedFiles/ClampFeetDocs/ARJ.JPG" TargetMode="External"/><Relationship Id="rId73" Type="http://schemas.openxmlformats.org/officeDocument/2006/relationships/hyperlink" Target="../../../../../../../../../../../../../../../../../../../../../../../0Library/SeedFiles/ClampFeetDocs/Metalsa_Hopkinsville_rev52.JPG" TargetMode="External"/><Relationship Id="rId78" Type="http://schemas.openxmlformats.org/officeDocument/2006/relationships/hyperlink" Target="../../../../../../../../../../../../../../../../../../../../../../../0Library/SeedFiles/ClampFeetDocs/Magna%20Williamsburg.JPG" TargetMode="External"/><Relationship Id="rId81" Type="http://schemas.openxmlformats.org/officeDocument/2006/relationships/hyperlink" Target="../../../../../../../../../../../../../../../../../../../../../../../0Library/SeedFiles/ClampFeetDocs/Schaller%20Group%20Presses.JPG" TargetMode="External"/><Relationship Id="rId4" Type="http://schemas.openxmlformats.org/officeDocument/2006/relationships/hyperlink" Target="../../../../../../../../../../../../../../../../../../../../../../../0Library/SeedFiles/ClampFeetDocs/GA%20PRESS.JPG" TargetMode="External"/><Relationship Id="rId9" Type="http://schemas.openxmlformats.org/officeDocument/2006/relationships/hyperlink" Target="../../../../../../../../../../../../../../../../../../../../../../../0Library/SeedFiles/ClampFeetDocs/Tower%20Clinton%20A%20line%20press%20A1.JPG" TargetMode="External"/><Relationship Id="rId13" Type="http://schemas.openxmlformats.org/officeDocument/2006/relationships/hyperlink" Target="file:///\\CTS-SERVER\WEB\standards\L&amp;W\Press\Plant-1\Plant1-P13\DATA\P-13.pdf" TargetMode="External"/><Relationship Id="rId18" Type="http://schemas.openxmlformats.org/officeDocument/2006/relationships/hyperlink" Target="../../../../../../../../../../../../../../../../../../../../../../../0Library/SeedFiles/ClampFeetDocs/Otscon%20300%20Ton.PNG" TargetMode="External"/><Relationship Id="rId39" Type="http://schemas.openxmlformats.org/officeDocument/2006/relationships/hyperlink" Target="../../../../../../../../../../../../../../../../../../../../../../../0Library/SeedFiles/ClampFeetDocs/L&amp;W_Plant2_T3_1700Ton.PNG" TargetMode="External"/><Relationship Id="rId34" Type="http://schemas.openxmlformats.org/officeDocument/2006/relationships/hyperlink" Target="../../../../../../../../../../../../../../../../../../../../../../../0Library/SeedFiles/ClampFeetDocs/Autotek_PLA-21_pg42.xlsx" TargetMode="External"/><Relationship Id="rId50" Type="http://schemas.openxmlformats.org/officeDocument/2006/relationships/hyperlink" Target="../../../../../../../../../../../../../../../../../../../../../../../0Library/SeedFiles/ClampFeetDocs/Rivian%20-%20C-Line.JPG" TargetMode="External"/><Relationship Id="rId55" Type="http://schemas.openxmlformats.org/officeDocument/2006/relationships/hyperlink" Target="../../../../../../../../../../../../../../../../../../../../../../../0Library/SeedFiles/ClampFeetDocs/195%20-%20Bopp%20and%20Busch%20-%20Kamatsu%20AP142%20Press%20-%20300%20Ton.JPG" TargetMode="External"/><Relationship Id="rId76" Type="http://schemas.openxmlformats.org/officeDocument/2006/relationships/hyperlink" Target="../../../../../../../../../../../../../../../../../../../../../../../0Library/SeedFiles/ClampFeetDocs/215%20-%20Erdrich%20500Ton.docx" TargetMode="External"/><Relationship Id="rId7" Type="http://schemas.openxmlformats.org/officeDocument/2006/relationships/hyperlink" Target="../../../../../../../../../../../../../../../../../../../../../../../0Library/SeedFiles/ClampFeetDocs/GA%20PRESS.JPG" TargetMode="External"/><Relationship Id="rId71" Type="http://schemas.openxmlformats.org/officeDocument/2006/relationships/hyperlink" Target="../../../../../../../../../../../../../../../../../../../../../../../0Library/SeedFiles/ClampFeetDocs/Midway_Generic_Clamp_Size.JPG" TargetMode="External"/><Relationship Id="rId2" Type="http://schemas.openxmlformats.org/officeDocument/2006/relationships/hyperlink" Target="../../../../../../../../../../../../../../../../../../../../../../../0Library/SeedFiles/ClampFeetDocs/Page%2026,27,28%20out%20of%20Press%20Standards%20US%20Version%206.3%202-19-15%20Rec%201-18-17.xps" TargetMode="External"/><Relationship Id="rId29" Type="http://schemas.openxmlformats.org/officeDocument/2006/relationships/hyperlink" Target="../../../../../../../../../../../../../../../../../../../../../../../0Library/SeedFiles/ClampFeetDocs/Dennen%20QOI-02.014-Die%20Build-Tooling%20Standards%20(Corp)%20Rev%20T%20Page%203.docx" TargetMode="External"/><Relationship Id="rId24" Type="http://schemas.openxmlformats.org/officeDocument/2006/relationships/hyperlink" Target="../../../../../../../../../../../../../../../../../../../../../../../0Library/SeedFiles/ClampFeetDocs/Gedia%20Standard%20Page%2043.pdf" TargetMode="External"/><Relationship Id="rId40" Type="http://schemas.openxmlformats.org/officeDocument/2006/relationships/hyperlink" Target="../../../../../../../../../../../../../../../../../../../../../../../0Library/SeedFiles/ClampFeetDocs/Flex%20N%20Gate%20Howard%20Plant.PNG" TargetMode="External"/><Relationship Id="rId45" Type="http://schemas.openxmlformats.org/officeDocument/2006/relationships/hyperlink" Target="../../../../../../../../../../../../../../../../../../../../../../../0Library/SeedFiles/ClampFeetDocs/186%20-%20PK%20USA%20-%20200Ton%20C%20Frame.docx" TargetMode="External"/><Relationship Id="rId66" Type="http://schemas.openxmlformats.org/officeDocument/2006/relationships/hyperlink" Target="../../../../../../../../../../../../../../../../../../../../../../../0Library/SeedFiles/ClampFeetDocs/Tower%20Bardstown%20Press%209.JPG" TargetMode="External"/><Relationship Id="rId61" Type="http://schemas.openxmlformats.org/officeDocument/2006/relationships/hyperlink" Target="../../../../../../../../../../../../../../../../../../../../../../../0Library/SeedFiles/ClampFeetDocs/Multimatic_Page13_14.JPG" TargetMode="External"/><Relationship Id="rId8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0"/>
  <sheetViews>
    <sheetView tabSelected="1" zoomScale="80" zoomScaleNormal="80" workbookViewId="0">
      <pane xSplit="2" ySplit="1" topLeftCell="C224" activePane="bottomRight" state="frozenSplit"/>
      <selection pane="topRight" activeCell="C1" sqref="C1"/>
      <selection pane="bottomLeft" activeCell="A2" sqref="A2"/>
      <selection pane="bottomRight" activeCell="B241" sqref="B241"/>
    </sheetView>
  </sheetViews>
  <sheetFormatPr defaultRowHeight="15" x14ac:dyDescent="0.25"/>
  <cols>
    <col min="1" max="1" width="11" style="1" customWidth="1"/>
    <col min="2" max="2" width="67.42578125" style="1" bestFit="1" customWidth="1"/>
    <col min="3" max="3" width="19.42578125" style="2" bestFit="1" customWidth="1"/>
    <col min="4" max="4" width="18.85546875" style="2" bestFit="1" customWidth="1"/>
    <col min="5" max="5" width="22.85546875" style="2" bestFit="1" customWidth="1"/>
    <col min="6" max="6" width="25.7109375" style="2" bestFit="1" customWidth="1"/>
    <col min="7" max="7" width="16.42578125" style="2" bestFit="1" customWidth="1"/>
    <col min="8" max="8" width="19.5703125" style="2" bestFit="1" customWidth="1"/>
    <col min="9" max="9" width="19.140625" style="2" bestFit="1" customWidth="1"/>
    <col min="10" max="10" width="23" style="2" bestFit="1" customWidth="1"/>
    <col min="11" max="11" width="25.85546875" style="2" bestFit="1" customWidth="1"/>
    <col min="12" max="12" width="17.7109375" style="2" bestFit="1" customWidth="1"/>
    <col min="13" max="13" width="12.7109375" style="1" bestFit="1" customWidth="1"/>
    <col min="14" max="16384" width="9.140625" style="1"/>
  </cols>
  <sheetData>
    <row r="1" spans="1:13" x14ac:dyDescent="0.25">
      <c r="A1" s="1" t="s">
        <v>11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238</v>
      </c>
    </row>
    <row r="2" spans="1:13" x14ac:dyDescent="0.25">
      <c r="A2" s="1">
        <v>1</v>
      </c>
      <c r="B2" s="1" t="s">
        <v>12</v>
      </c>
      <c r="C2" s="2">
        <v>3</v>
      </c>
      <c r="D2" s="2">
        <v>3</v>
      </c>
      <c r="E2" s="2">
        <v>0.5</v>
      </c>
      <c r="F2" s="2">
        <v>0.75</v>
      </c>
      <c r="G2" s="2">
        <v>0.5</v>
      </c>
      <c r="H2" s="2">
        <v>3</v>
      </c>
      <c r="I2" s="2">
        <v>3</v>
      </c>
      <c r="J2" s="2">
        <v>0.5</v>
      </c>
      <c r="K2" s="2">
        <v>0.75</v>
      </c>
      <c r="L2" s="2">
        <v>0.5</v>
      </c>
    </row>
    <row r="3" spans="1:13" x14ac:dyDescent="0.25">
      <c r="A3" s="1">
        <v>2</v>
      </c>
      <c r="B3" s="1" t="s">
        <v>13</v>
      </c>
      <c r="C3" s="2">
        <v>3.25</v>
      </c>
      <c r="D3" s="2">
        <v>4.375</v>
      </c>
      <c r="E3" s="2">
        <v>1.772</v>
      </c>
      <c r="F3" s="2">
        <v>1.575</v>
      </c>
      <c r="G3" s="2">
        <v>2.56</v>
      </c>
      <c r="H3" s="2">
        <v>3.25</v>
      </c>
      <c r="I3" s="2">
        <v>4.375</v>
      </c>
      <c r="J3" s="2">
        <v>1.772</v>
      </c>
      <c r="K3" s="2">
        <v>1.575</v>
      </c>
      <c r="L3" s="2">
        <v>2.5</v>
      </c>
    </row>
    <row r="4" spans="1:13" x14ac:dyDescent="0.25">
      <c r="A4" s="1">
        <v>3</v>
      </c>
      <c r="B4" s="1" t="s">
        <v>34</v>
      </c>
      <c r="C4" s="2">
        <v>3.375</v>
      </c>
      <c r="D4" s="2">
        <v>6.25</v>
      </c>
      <c r="E4" s="2">
        <v>1.375</v>
      </c>
      <c r="F4" s="2">
        <v>1.375</v>
      </c>
      <c r="G4" s="2">
        <v>2</v>
      </c>
      <c r="H4" s="2">
        <v>3.375</v>
      </c>
      <c r="I4" s="2">
        <v>6.25</v>
      </c>
      <c r="J4" s="2">
        <v>1.575</v>
      </c>
      <c r="K4" s="2">
        <v>1.375</v>
      </c>
      <c r="L4" s="2">
        <v>2</v>
      </c>
    </row>
    <row r="5" spans="1:13" x14ac:dyDescent="0.25">
      <c r="A5" s="1">
        <v>4</v>
      </c>
      <c r="B5" s="1" t="s">
        <v>35</v>
      </c>
      <c r="C5" s="2">
        <v>3.375</v>
      </c>
      <c r="D5" s="2">
        <v>6.25</v>
      </c>
      <c r="E5" s="2">
        <v>1.5625</v>
      </c>
      <c r="F5" s="2">
        <v>1.375</v>
      </c>
      <c r="G5" s="2">
        <v>2</v>
      </c>
      <c r="H5" s="2">
        <v>3.375</v>
      </c>
      <c r="I5" s="2">
        <v>6.25</v>
      </c>
      <c r="J5" s="2">
        <v>1.575</v>
      </c>
      <c r="K5" s="2">
        <v>1.375</v>
      </c>
      <c r="L5" s="2">
        <v>2</v>
      </c>
    </row>
    <row r="6" spans="1:13" x14ac:dyDescent="0.25">
      <c r="A6" s="1">
        <v>5</v>
      </c>
      <c r="B6" s="1" t="s">
        <v>20</v>
      </c>
      <c r="C6" s="2">
        <v>5</v>
      </c>
      <c r="D6" s="2">
        <v>4</v>
      </c>
      <c r="E6" s="2">
        <v>1.25</v>
      </c>
      <c r="F6" s="2">
        <v>3</v>
      </c>
      <c r="G6" s="2">
        <v>2.7559999999999998</v>
      </c>
      <c r="H6" s="2">
        <v>5</v>
      </c>
      <c r="I6" s="2">
        <v>4</v>
      </c>
      <c r="J6" s="2">
        <v>1.25</v>
      </c>
      <c r="K6" s="2">
        <v>3</v>
      </c>
      <c r="L6" s="2">
        <v>2.7559999999999998</v>
      </c>
    </row>
    <row r="7" spans="1:13" x14ac:dyDescent="0.25">
      <c r="A7" s="1">
        <v>6</v>
      </c>
      <c r="B7" s="1" t="s">
        <v>36</v>
      </c>
      <c r="C7" s="2">
        <v>3</v>
      </c>
      <c r="D7" s="2">
        <v>4</v>
      </c>
      <c r="E7" s="2">
        <v>1.25</v>
      </c>
      <c r="F7" s="2">
        <v>1.75</v>
      </c>
      <c r="G7" s="2">
        <v>2.7559999999999998</v>
      </c>
      <c r="H7" s="2">
        <v>3</v>
      </c>
      <c r="I7" s="2">
        <v>4</v>
      </c>
      <c r="J7" s="2">
        <v>1.25</v>
      </c>
      <c r="K7" s="2">
        <v>1.75</v>
      </c>
      <c r="L7" s="2">
        <v>2.7559999999999998</v>
      </c>
    </row>
    <row r="8" spans="1:13" x14ac:dyDescent="0.25">
      <c r="A8" s="1">
        <v>7</v>
      </c>
      <c r="B8" s="1" t="s">
        <v>21</v>
      </c>
      <c r="C8" s="2">
        <f>120/25.4</f>
        <v>4.7244094488188981</v>
      </c>
      <c r="D8" s="2">
        <v>4</v>
      </c>
      <c r="E8" s="2">
        <f>40/25.4</f>
        <v>1.5748031496062993</v>
      </c>
      <c r="F8" s="2">
        <f>50/25.4</f>
        <v>1.9685039370078741</v>
      </c>
      <c r="G8" s="2">
        <f>80/25.4</f>
        <v>3.1496062992125986</v>
      </c>
      <c r="H8" s="2">
        <f>120/25.4</f>
        <v>4.7244094488188981</v>
      </c>
      <c r="I8" s="2">
        <v>4</v>
      </c>
      <c r="J8" s="2">
        <f>40/25.4</f>
        <v>1.5748031496062993</v>
      </c>
      <c r="K8" s="2">
        <f>50/25.4</f>
        <v>1.9685039370078741</v>
      </c>
      <c r="L8" s="2">
        <f>70/25.4</f>
        <v>2.7559055118110236</v>
      </c>
    </row>
    <row r="9" spans="1:13" x14ac:dyDescent="0.25">
      <c r="A9" s="1">
        <v>8</v>
      </c>
      <c r="B9" s="1" t="s">
        <v>26</v>
      </c>
      <c r="C9" s="2">
        <v>3.5</v>
      </c>
      <c r="D9" s="2">
        <v>3</v>
      </c>
      <c r="E9" s="2">
        <v>1.25</v>
      </c>
      <c r="F9" s="2">
        <v>2</v>
      </c>
      <c r="G9" s="2">
        <v>2</v>
      </c>
      <c r="H9" s="2">
        <v>3.5</v>
      </c>
      <c r="I9" s="2">
        <v>3</v>
      </c>
      <c r="J9" s="2">
        <v>1.25</v>
      </c>
      <c r="K9" s="2">
        <v>2</v>
      </c>
      <c r="L9" s="2">
        <v>2</v>
      </c>
    </row>
    <row r="10" spans="1:13" x14ac:dyDescent="0.25">
      <c r="A10" s="1">
        <v>9</v>
      </c>
      <c r="B10" s="1" t="s">
        <v>37</v>
      </c>
      <c r="C10" s="2">
        <v>4</v>
      </c>
      <c r="D10" s="2">
        <v>4</v>
      </c>
      <c r="E10" s="2">
        <v>1.125</v>
      </c>
      <c r="F10" s="2">
        <v>2.5625</v>
      </c>
      <c r="G10" s="2">
        <v>2</v>
      </c>
      <c r="H10" s="2">
        <v>4</v>
      </c>
      <c r="I10" s="2">
        <v>4</v>
      </c>
      <c r="J10" s="2">
        <v>1.125</v>
      </c>
      <c r="K10" s="2">
        <v>2.5625</v>
      </c>
      <c r="L10" s="2">
        <v>2</v>
      </c>
    </row>
    <row r="11" spans="1:13" x14ac:dyDescent="0.25">
      <c r="A11" s="1">
        <v>10</v>
      </c>
      <c r="B11" s="1" t="s">
        <v>38</v>
      </c>
      <c r="C11" s="2">
        <v>4</v>
      </c>
      <c r="D11" s="2">
        <v>4</v>
      </c>
      <c r="E11" s="2">
        <v>1.125</v>
      </c>
      <c r="F11" s="2">
        <v>2.5625</v>
      </c>
      <c r="G11" s="2">
        <v>2.5</v>
      </c>
      <c r="H11" s="2">
        <v>4</v>
      </c>
      <c r="I11" s="2">
        <v>4</v>
      </c>
      <c r="J11" s="2">
        <v>1.125</v>
      </c>
      <c r="K11" s="2">
        <v>2.5625</v>
      </c>
      <c r="L11" s="2">
        <v>2.5</v>
      </c>
    </row>
    <row r="12" spans="1:13" x14ac:dyDescent="0.25">
      <c r="A12" s="1">
        <v>11</v>
      </c>
      <c r="B12" s="1" t="s">
        <v>27</v>
      </c>
      <c r="C12" s="2">
        <v>4</v>
      </c>
      <c r="D12" s="2">
        <v>3</v>
      </c>
      <c r="E12" s="2">
        <v>1.25</v>
      </c>
      <c r="F12" s="2">
        <v>2.75</v>
      </c>
      <c r="G12" s="2">
        <v>2</v>
      </c>
      <c r="H12" s="2">
        <v>4</v>
      </c>
      <c r="I12" s="2">
        <v>3</v>
      </c>
      <c r="J12" s="2">
        <v>1.25</v>
      </c>
      <c r="K12" s="2">
        <v>2.75</v>
      </c>
      <c r="L12" s="2">
        <v>2</v>
      </c>
    </row>
    <row r="13" spans="1:13" x14ac:dyDescent="0.25">
      <c r="A13" s="1">
        <v>12</v>
      </c>
      <c r="B13" s="17" t="s">
        <v>39</v>
      </c>
      <c r="C13" s="2">
        <v>3</v>
      </c>
      <c r="D13" s="2">
        <v>3</v>
      </c>
      <c r="E13" s="2">
        <v>1.5</v>
      </c>
      <c r="F13" s="2">
        <v>1.25</v>
      </c>
      <c r="G13" s="2">
        <v>2</v>
      </c>
      <c r="H13" s="2">
        <v>3</v>
      </c>
      <c r="I13" s="2">
        <v>4</v>
      </c>
      <c r="J13" s="2">
        <v>1.5</v>
      </c>
      <c r="K13" s="2">
        <v>1.5</v>
      </c>
      <c r="L13" s="2">
        <v>2.5</v>
      </c>
    </row>
    <row r="14" spans="1:13" x14ac:dyDescent="0.25">
      <c r="A14" s="1">
        <v>13</v>
      </c>
      <c r="B14" s="17" t="s">
        <v>40</v>
      </c>
      <c r="C14" s="2">
        <v>3</v>
      </c>
      <c r="D14" s="2">
        <v>3</v>
      </c>
      <c r="E14" s="2">
        <v>1.5</v>
      </c>
      <c r="F14" s="2">
        <v>1.25</v>
      </c>
      <c r="G14" s="2">
        <v>2.5</v>
      </c>
      <c r="H14" s="2">
        <v>3</v>
      </c>
      <c r="I14" s="2">
        <v>4</v>
      </c>
      <c r="J14" s="2">
        <v>1.5</v>
      </c>
      <c r="K14" s="2">
        <v>1.5</v>
      </c>
      <c r="L14" s="2">
        <v>2.5</v>
      </c>
    </row>
    <row r="15" spans="1:13" x14ac:dyDescent="0.25">
      <c r="A15" s="1">
        <v>14</v>
      </c>
      <c r="B15" s="1" t="s">
        <v>29</v>
      </c>
      <c r="C15" s="2">
        <v>3.5</v>
      </c>
      <c r="D15" s="2">
        <v>3</v>
      </c>
      <c r="E15" s="2">
        <v>1.125</v>
      </c>
      <c r="F15" s="2">
        <v>2.4375</v>
      </c>
      <c r="G15" s="2">
        <v>2.5</v>
      </c>
      <c r="H15" s="2">
        <v>3.5</v>
      </c>
      <c r="I15" s="2">
        <v>3</v>
      </c>
      <c r="J15" s="2">
        <v>1.125</v>
      </c>
      <c r="K15" s="2">
        <v>2.4375</v>
      </c>
      <c r="L15" s="2">
        <v>2.5</v>
      </c>
    </row>
    <row r="16" spans="1:13" x14ac:dyDescent="0.25">
      <c r="A16" s="1">
        <v>15</v>
      </c>
      <c r="B16" s="1" t="s">
        <v>30</v>
      </c>
      <c r="C16" s="2">
        <v>3.5</v>
      </c>
      <c r="D16" s="2">
        <v>3</v>
      </c>
      <c r="E16" s="2">
        <v>1.125</v>
      </c>
      <c r="F16" s="2">
        <v>2.4375</v>
      </c>
      <c r="G16" s="2">
        <v>2.5</v>
      </c>
      <c r="H16" s="2">
        <v>3.5</v>
      </c>
      <c r="I16" s="2">
        <v>3</v>
      </c>
      <c r="J16" s="2">
        <v>1.125</v>
      </c>
      <c r="K16" s="2">
        <v>2.4375</v>
      </c>
      <c r="L16" s="2">
        <v>2.5</v>
      </c>
    </row>
    <row r="17" spans="1:12" x14ac:dyDescent="0.25">
      <c r="A17" s="1">
        <v>16</v>
      </c>
      <c r="B17" s="1" t="s">
        <v>58</v>
      </c>
      <c r="C17" s="2" t="s">
        <v>100</v>
      </c>
      <c r="D17" s="2">
        <v>4.75</v>
      </c>
      <c r="E17" s="2">
        <v>2</v>
      </c>
      <c r="F17" s="2">
        <v>2.125</v>
      </c>
      <c r="G17" s="2">
        <v>2.5</v>
      </c>
      <c r="H17" s="2">
        <v>4</v>
      </c>
      <c r="I17" s="2">
        <v>4.75</v>
      </c>
      <c r="J17" s="2">
        <v>2</v>
      </c>
      <c r="K17" s="2">
        <v>2.125</v>
      </c>
      <c r="L17" s="2">
        <v>2.5</v>
      </c>
    </row>
    <row r="18" spans="1:12" x14ac:dyDescent="0.25">
      <c r="A18" s="1">
        <v>17</v>
      </c>
      <c r="B18" s="1" t="s">
        <v>60</v>
      </c>
      <c r="C18" s="2">
        <v>3.15</v>
      </c>
      <c r="D18" s="2">
        <v>4.33</v>
      </c>
      <c r="E18" s="2">
        <v>1.772</v>
      </c>
      <c r="F18" s="2">
        <v>1.476</v>
      </c>
      <c r="G18" s="2">
        <v>2.5590000000000002</v>
      </c>
      <c r="H18" s="2">
        <v>2.9529999999999998</v>
      </c>
      <c r="I18" s="2">
        <v>5.9059999999999997</v>
      </c>
      <c r="J18" s="2">
        <v>1.9690000000000001</v>
      </c>
      <c r="K18" s="2">
        <v>1.8620000000000001</v>
      </c>
      <c r="L18" s="2">
        <v>2.5590000000000002</v>
      </c>
    </row>
    <row r="19" spans="1:12" x14ac:dyDescent="0.25">
      <c r="A19" s="1">
        <v>18</v>
      </c>
      <c r="B19" s="1" t="s">
        <v>31</v>
      </c>
      <c r="C19" s="2">
        <v>3</v>
      </c>
      <c r="D19" s="2">
        <v>3</v>
      </c>
      <c r="E19" s="2">
        <v>1.25</v>
      </c>
      <c r="F19" s="2">
        <v>1.75</v>
      </c>
      <c r="G19" s="2">
        <v>3</v>
      </c>
      <c r="H19" s="2">
        <v>3</v>
      </c>
      <c r="I19" s="2">
        <v>3</v>
      </c>
      <c r="J19" s="2">
        <v>1.25</v>
      </c>
      <c r="K19" s="2">
        <v>1.75</v>
      </c>
      <c r="L19" s="2">
        <v>3</v>
      </c>
    </row>
    <row r="20" spans="1:12" x14ac:dyDescent="0.25">
      <c r="A20" s="1">
        <v>19</v>
      </c>
      <c r="B20" s="17" t="s">
        <v>22</v>
      </c>
      <c r="C20" s="2">
        <v>3</v>
      </c>
      <c r="D20" s="2">
        <v>3</v>
      </c>
      <c r="E20" s="2">
        <v>1.25</v>
      </c>
      <c r="F20" s="2">
        <v>1.75</v>
      </c>
      <c r="G20" s="2">
        <v>3</v>
      </c>
      <c r="H20" s="2">
        <v>3</v>
      </c>
      <c r="I20" s="2">
        <v>3</v>
      </c>
      <c r="J20" s="2">
        <v>1.25</v>
      </c>
      <c r="K20" s="2">
        <v>1.75</v>
      </c>
      <c r="L20" s="2">
        <v>3</v>
      </c>
    </row>
    <row r="21" spans="1:12" x14ac:dyDescent="0.25">
      <c r="A21" s="1">
        <v>20</v>
      </c>
      <c r="B21" s="1" t="s">
        <v>41</v>
      </c>
      <c r="C21" s="2">
        <v>4</v>
      </c>
      <c r="D21" s="2">
        <v>4</v>
      </c>
      <c r="E21" s="2">
        <v>1.25</v>
      </c>
      <c r="F21" s="2">
        <v>2.5625</v>
      </c>
      <c r="G21" s="2">
        <v>2</v>
      </c>
      <c r="H21" s="2">
        <v>4</v>
      </c>
      <c r="I21" s="2">
        <v>6</v>
      </c>
      <c r="J21" s="2">
        <v>1.25</v>
      </c>
      <c r="K21" s="2">
        <v>2.5625</v>
      </c>
      <c r="L21" s="2">
        <v>2</v>
      </c>
    </row>
    <row r="22" spans="1:12" x14ac:dyDescent="0.25">
      <c r="A22" s="1">
        <v>21</v>
      </c>
      <c r="B22" s="1" t="s">
        <v>33</v>
      </c>
      <c r="C22" s="2">
        <f>125/25.4</f>
        <v>4.9212598425196852</v>
      </c>
      <c r="D22" s="2">
        <f>125/25.4</f>
        <v>4.9212598425196852</v>
      </c>
      <c r="E22" s="2">
        <f>40/25.4</f>
        <v>1.5748031496062993</v>
      </c>
      <c r="F22" s="2">
        <f>50/25.4</f>
        <v>1.9685039370078741</v>
      </c>
      <c r="G22" s="2">
        <f>55/25.4</f>
        <v>2.1653543307086616</v>
      </c>
      <c r="H22" s="2">
        <f>125/25.4</f>
        <v>4.9212598425196852</v>
      </c>
      <c r="I22" s="2">
        <f>125/25.4</f>
        <v>4.9212598425196852</v>
      </c>
      <c r="J22" s="2">
        <f>40/25.4</f>
        <v>1.5748031496062993</v>
      </c>
      <c r="K22" s="2">
        <f>75/25.4</f>
        <v>2.9527559055118111</v>
      </c>
      <c r="L22" s="2">
        <f>70/25.4</f>
        <v>2.7559055118110236</v>
      </c>
    </row>
    <row r="23" spans="1:12" x14ac:dyDescent="0.25">
      <c r="A23" s="1">
        <v>22</v>
      </c>
      <c r="B23" s="1" t="s">
        <v>96</v>
      </c>
      <c r="C23" s="2">
        <v>3</v>
      </c>
      <c r="D23" s="2">
        <v>3</v>
      </c>
      <c r="E23" s="2">
        <v>1.375</v>
      </c>
      <c r="F23" s="2">
        <v>2</v>
      </c>
      <c r="G23" s="2">
        <v>2</v>
      </c>
      <c r="H23" s="2">
        <v>3</v>
      </c>
      <c r="I23" s="2">
        <v>3</v>
      </c>
      <c r="J23" s="2">
        <v>1.375</v>
      </c>
      <c r="K23" s="2">
        <v>2</v>
      </c>
      <c r="L23" s="2">
        <v>2</v>
      </c>
    </row>
    <row r="24" spans="1:12" x14ac:dyDescent="0.25">
      <c r="A24" s="7">
        <v>23</v>
      </c>
      <c r="B24" s="7" t="s">
        <v>42</v>
      </c>
      <c r="C24" s="2">
        <v>3</v>
      </c>
      <c r="D24" s="2">
        <v>3</v>
      </c>
      <c r="E24" s="2">
        <v>1</v>
      </c>
      <c r="F24" s="2">
        <v>1.75</v>
      </c>
      <c r="G24" s="2">
        <v>2</v>
      </c>
      <c r="H24" s="2">
        <v>3</v>
      </c>
      <c r="I24" s="2">
        <v>3</v>
      </c>
      <c r="J24" s="2">
        <v>1</v>
      </c>
      <c r="K24" s="2">
        <v>1.75</v>
      </c>
      <c r="L24" s="2">
        <v>3</v>
      </c>
    </row>
    <row r="25" spans="1:12" x14ac:dyDescent="0.25">
      <c r="A25" s="1">
        <v>24</v>
      </c>
      <c r="B25" s="1" t="s">
        <v>15</v>
      </c>
      <c r="C25" s="2">
        <v>3</v>
      </c>
      <c r="D25" s="2">
        <v>3</v>
      </c>
      <c r="E25" s="2">
        <v>1.125</v>
      </c>
      <c r="F25" s="2">
        <v>2.5</v>
      </c>
      <c r="G25" s="2">
        <v>2</v>
      </c>
      <c r="H25" s="2">
        <v>3</v>
      </c>
      <c r="I25" s="2">
        <v>3</v>
      </c>
      <c r="J25" s="2">
        <v>1.125</v>
      </c>
      <c r="K25" s="2">
        <v>2.5</v>
      </c>
      <c r="L25" s="2">
        <v>2</v>
      </c>
    </row>
    <row r="26" spans="1:12" x14ac:dyDescent="0.25">
      <c r="A26" s="1">
        <v>25</v>
      </c>
      <c r="B26" s="1" t="s">
        <v>64</v>
      </c>
      <c r="C26" s="2">
        <v>4</v>
      </c>
      <c r="D26" s="2">
        <v>6</v>
      </c>
      <c r="E26" s="2">
        <v>2</v>
      </c>
      <c r="F26" s="2">
        <v>2</v>
      </c>
      <c r="G26" s="2">
        <v>3</v>
      </c>
      <c r="H26" s="2">
        <v>4</v>
      </c>
      <c r="I26" s="2">
        <v>6</v>
      </c>
      <c r="J26" s="2">
        <v>2</v>
      </c>
      <c r="K26" s="2">
        <v>2</v>
      </c>
      <c r="L26" s="2">
        <v>2.5</v>
      </c>
    </row>
    <row r="27" spans="1:12" x14ac:dyDescent="0.25">
      <c r="A27" s="1">
        <v>26</v>
      </c>
      <c r="B27" s="1" t="s">
        <v>16</v>
      </c>
      <c r="C27" s="2">
        <v>3.5</v>
      </c>
      <c r="D27" s="2">
        <v>4</v>
      </c>
      <c r="E27" s="2">
        <v>1.125</v>
      </c>
      <c r="F27" s="2">
        <v>2</v>
      </c>
      <c r="G27" s="2">
        <v>2.56</v>
      </c>
      <c r="H27" s="2">
        <v>3.5</v>
      </c>
      <c r="I27" s="2">
        <v>4</v>
      </c>
      <c r="J27" s="2">
        <v>1.125</v>
      </c>
      <c r="K27" s="2">
        <v>2</v>
      </c>
      <c r="L27" s="2">
        <v>2.56</v>
      </c>
    </row>
    <row r="28" spans="1:12" x14ac:dyDescent="0.25">
      <c r="A28" s="1">
        <v>27</v>
      </c>
      <c r="B28" s="1" t="s">
        <v>14</v>
      </c>
      <c r="C28" s="2">
        <v>3</v>
      </c>
      <c r="D28" s="2">
        <v>3</v>
      </c>
      <c r="E28" s="2">
        <v>1.125</v>
      </c>
      <c r="F28" s="2">
        <v>2.5</v>
      </c>
      <c r="G28" s="2">
        <v>2</v>
      </c>
      <c r="H28" s="2">
        <v>3</v>
      </c>
      <c r="I28" s="2">
        <v>3</v>
      </c>
      <c r="J28" s="2">
        <v>1.125</v>
      </c>
      <c r="K28" s="2">
        <v>2.5</v>
      </c>
      <c r="L28" s="2">
        <v>2</v>
      </c>
    </row>
    <row r="29" spans="1:12" x14ac:dyDescent="0.25">
      <c r="A29" s="1">
        <v>28</v>
      </c>
      <c r="B29" s="1" t="s">
        <v>65</v>
      </c>
      <c r="C29" s="2">
        <v>3.125</v>
      </c>
      <c r="D29" s="2">
        <v>3</v>
      </c>
      <c r="E29" s="2">
        <v>1.25</v>
      </c>
      <c r="F29" s="2">
        <v>2.5</v>
      </c>
      <c r="G29" s="2">
        <v>3</v>
      </c>
      <c r="H29" s="2">
        <v>3.125</v>
      </c>
      <c r="I29" s="2">
        <v>3</v>
      </c>
      <c r="J29" s="2">
        <v>1.25</v>
      </c>
      <c r="K29" s="2">
        <v>2.5</v>
      </c>
      <c r="L29" s="2">
        <v>3</v>
      </c>
    </row>
    <row r="30" spans="1:12" x14ac:dyDescent="0.25">
      <c r="A30" s="1">
        <v>29</v>
      </c>
      <c r="B30" s="1" t="s">
        <v>44</v>
      </c>
      <c r="C30" s="2">
        <v>2.5</v>
      </c>
      <c r="D30" s="2">
        <v>3</v>
      </c>
      <c r="E30" s="2">
        <v>1.25</v>
      </c>
      <c r="F30" s="2">
        <v>2</v>
      </c>
      <c r="G30" s="2">
        <v>3</v>
      </c>
      <c r="H30" s="2">
        <v>2.5</v>
      </c>
      <c r="I30" s="2">
        <v>3</v>
      </c>
      <c r="J30" s="2">
        <v>1.25</v>
      </c>
      <c r="K30" s="2">
        <v>2</v>
      </c>
      <c r="L30" s="2">
        <v>3</v>
      </c>
    </row>
    <row r="31" spans="1:12" x14ac:dyDescent="0.25">
      <c r="A31" s="1">
        <v>30</v>
      </c>
      <c r="B31" s="1" t="s">
        <v>43</v>
      </c>
      <c r="C31" s="2">
        <v>2.5</v>
      </c>
      <c r="D31" s="2">
        <v>3</v>
      </c>
      <c r="E31" s="2">
        <v>1</v>
      </c>
      <c r="F31" s="2">
        <v>2</v>
      </c>
      <c r="G31" s="2">
        <v>2</v>
      </c>
      <c r="H31" s="2">
        <v>2.5</v>
      </c>
      <c r="I31" s="2">
        <v>3</v>
      </c>
      <c r="J31" s="2">
        <v>1</v>
      </c>
      <c r="K31" s="2">
        <v>2</v>
      </c>
      <c r="L31" s="2">
        <v>2</v>
      </c>
    </row>
    <row r="32" spans="1:12" x14ac:dyDescent="0.25">
      <c r="A32" s="1">
        <v>31</v>
      </c>
      <c r="B32" s="1" t="s">
        <v>45</v>
      </c>
      <c r="C32" s="2">
        <v>3.5</v>
      </c>
      <c r="D32" s="2">
        <v>3</v>
      </c>
      <c r="E32" s="2">
        <v>1.25</v>
      </c>
      <c r="F32" s="2">
        <v>1.75</v>
      </c>
      <c r="G32" s="2">
        <v>2</v>
      </c>
      <c r="H32" s="2">
        <v>3.5</v>
      </c>
      <c r="I32" s="2">
        <v>3</v>
      </c>
      <c r="J32" s="2">
        <v>1.25</v>
      </c>
      <c r="K32" s="2">
        <v>1.75</v>
      </c>
      <c r="L32" s="2">
        <v>3</v>
      </c>
    </row>
    <row r="33" spans="1:12" x14ac:dyDescent="0.25">
      <c r="A33" s="1">
        <v>32</v>
      </c>
      <c r="B33" s="6" t="s">
        <v>46</v>
      </c>
      <c r="C33" s="2">
        <v>4.7249999999999996</v>
      </c>
      <c r="D33" s="2">
        <v>3.9369999999999998</v>
      </c>
      <c r="E33" s="2">
        <v>1.2598</v>
      </c>
      <c r="F33" s="2">
        <v>2.3622000000000001</v>
      </c>
      <c r="G33" s="2">
        <v>2</v>
      </c>
      <c r="H33" s="2">
        <v>4.7249999999999996</v>
      </c>
      <c r="I33" s="2">
        <v>5</v>
      </c>
      <c r="J33" s="2">
        <v>1.2598</v>
      </c>
      <c r="K33" s="2">
        <v>2.3622000000000001</v>
      </c>
      <c r="L33" s="2">
        <v>2</v>
      </c>
    </row>
    <row r="34" spans="1:12" x14ac:dyDescent="0.25">
      <c r="A34" s="1">
        <v>33</v>
      </c>
      <c r="B34" s="1" t="s">
        <v>47</v>
      </c>
      <c r="C34" s="2">
        <v>4.7249999999999996</v>
      </c>
      <c r="D34" s="2">
        <v>3.9369999999999998</v>
      </c>
      <c r="E34" s="2">
        <v>1.2598</v>
      </c>
      <c r="F34" s="2">
        <v>2.3622000000000001</v>
      </c>
      <c r="G34" s="2">
        <v>1.5</v>
      </c>
      <c r="H34" s="2">
        <v>4.7249999999999996</v>
      </c>
      <c r="I34" s="2">
        <v>3.9369999999999998</v>
      </c>
      <c r="J34" s="2">
        <v>1.2598</v>
      </c>
      <c r="K34" s="2">
        <v>2.3622000000000001</v>
      </c>
      <c r="L34" s="2">
        <v>1.5</v>
      </c>
    </row>
    <row r="35" spans="1:12" x14ac:dyDescent="0.25">
      <c r="A35" s="1">
        <v>34</v>
      </c>
      <c r="B35" s="1" t="s">
        <v>48</v>
      </c>
      <c r="C35" s="2">
        <v>4.7249999999999996</v>
      </c>
      <c r="D35" s="2">
        <v>3.9369999999999998</v>
      </c>
      <c r="E35" s="2">
        <v>1.2598</v>
      </c>
      <c r="F35" s="2">
        <v>2.3622000000000001</v>
      </c>
      <c r="G35" s="2">
        <v>1.5</v>
      </c>
      <c r="H35" s="2">
        <v>4.7249999999999996</v>
      </c>
      <c r="I35" s="2">
        <v>3.9369999999999998</v>
      </c>
      <c r="J35" s="2">
        <v>1.2598</v>
      </c>
      <c r="K35" s="2">
        <v>2.3622000000000001</v>
      </c>
      <c r="L35" s="2">
        <v>1.5</v>
      </c>
    </row>
    <row r="36" spans="1:12" x14ac:dyDescent="0.25">
      <c r="A36" s="1">
        <v>35</v>
      </c>
      <c r="B36" s="1" t="s">
        <v>18</v>
      </c>
      <c r="C36" s="2">
        <v>4</v>
      </c>
      <c r="D36" s="2">
        <v>4</v>
      </c>
      <c r="E36" s="2">
        <v>1.18</v>
      </c>
      <c r="F36" s="2">
        <v>2</v>
      </c>
      <c r="G36" s="2">
        <v>2</v>
      </c>
      <c r="H36" s="2">
        <v>5.5</v>
      </c>
      <c r="I36" s="2">
        <v>5.5</v>
      </c>
      <c r="J36" s="2">
        <v>1.18</v>
      </c>
      <c r="K36" s="2">
        <v>2.9129999999999998</v>
      </c>
      <c r="L36" s="2">
        <v>2</v>
      </c>
    </row>
    <row r="37" spans="1:12" x14ac:dyDescent="0.25">
      <c r="A37" s="1">
        <v>36</v>
      </c>
      <c r="B37" s="6" t="s">
        <v>49</v>
      </c>
      <c r="C37" s="2">
        <v>3.5</v>
      </c>
      <c r="D37" s="2">
        <v>3</v>
      </c>
      <c r="E37" s="2">
        <v>1.25</v>
      </c>
      <c r="F37" s="2">
        <v>1.75</v>
      </c>
      <c r="G37" s="2">
        <v>2</v>
      </c>
      <c r="H37" s="2">
        <v>3.5</v>
      </c>
      <c r="I37" s="2">
        <v>3</v>
      </c>
      <c r="J37" s="2">
        <v>1.25</v>
      </c>
      <c r="K37" s="2">
        <v>1.75</v>
      </c>
      <c r="L37" s="2">
        <v>2</v>
      </c>
    </row>
    <row r="38" spans="1:12" x14ac:dyDescent="0.25">
      <c r="A38" s="1">
        <v>37</v>
      </c>
      <c r="B38" s="16" t="s">
        <v>57</v>
      </c>
      <c r="C38" s="2">
        <v>4.5</v>
      </c>
      <c r="D38" s="2">
        <v>4</v>
      </c>
      <c r="E38" s="2">
        <v>1</v>
      </c>
      <c r="F38" s="2">
        <v>2.5</v>
      </c>
      <c r="G38" s="2">
        <v>2</v>
      </c>
      <c r="H38" s="2">
        <v>4.5</v>
      </c>
      <c r="I38" s="2">
        <v>4</v>
      </c>
      <c r="J38" s="2">
        <v>1</v>
      </c>
      <c r="K38" s="2">
        <v>2.5</v>
      </c>
      <c r="L38" s="2">
        <v>2</v>
      </c>
    </row>
    <row r="39" spans="1:12" x14ac:dyDescent="0.25">
      <c r="A39" s="1">
        <v>38</v>
      </c>
      <c r="B39" s="1" t="s">
        <v>25</v>
      </c>
      <c r="C39" s="2">
        <v>3</v>
      </c>
      <c r="D39" s="2">
        <v>3</v>
      </c>
      <c r="E39" s="2">
        <v>1</v>
      </c>
      <c r="F39" s="2">
        <v>1.5</v>
      </c>
      <c r="G39" s="2">
        <v>2.25</v>
      </c>
      <c r="H39" s="2">
        <v>3</v>
      </c>
      <c r="I39" s="2">
        <v>3</v>
      </c>
      <c r="J39" s="2">
        <v>1</v>
      </c>
      <c r="K39" s="2">
        <v>1.5</v>
      </c>
      <c r="L39" s="2">
        <v>2.25</v>
      </c>
    </row>
    <row r="40" spans="1:12" x14ac:dyDescent="0.25">
      <c r="A40" s="1">
        <v>39</v>
      </c>
      <c r="B40" s="1" t="s">
        <v>50</v>
      </c>
      <c r="C40" s="2">
        <v>3.15</v>
      </c>
      <c r="D40" s="2">
        <v>3.5625</v>
      </c>
      <c r="E40" s="2">
        <v>1.575</v>
      </c>
      <c r="F40" s="2">
        <v>1.575</v>
      </c>
      <c r="G40" s="2">
        <v>2.165</v>
      </c>
      <c r="H40" s="2">
        <v>3.15</v>
      </c>
      <c r="I40" s="2">
        <v>3.5625</v>
      </c>
      <c r="J40" s="2">
        <v>1.575</v>
      </c>
      <c r="K40" s="2">
        <v>1.575</v>
      </c>
      <c r="L40" s="2">
        <v>2.1654</v>
      </c>
    </row>
    <row r="41" spans="1:12" x14ac:dyDescent="0.25">
      <c r="A41" s="1">
        <v>40</v>
      </c>
      <c r="B41" s="1" t="s">
        <v>24</v>
      </c>
      <c r="C41" s="2">
        <v>5</v>
      </c>
      <c r="D41" s="2">
        <v>4</v>
      </c>
      <c r="E41" s="2">
        <v>1.5</v>
      </c>
      <c r="F41" s="2">
        <v>1.75</v>
      </c>
      <c r="G41" s="2">
        <v>2.375</v>
      </c>
      <c r="H41" s="2">
        <v>5</v>
      </c>
      <c r="I41" s="2">
        <v>4</v>
      </c>
      <c r="J41" s="2">
        <v>1.5</v>
      </c>
      <c r="K41" s="2">
        <v>1.75</v>
      </c>
      <c r="L41" s="2">
        <v>2.375</v>
      </c>
    </row>
    <row r="42" spans="1:12" x14ac:dyDescent="0.25">
      <c r="A42" s="1">
        <v>41</v>
      </c>
      <c r="B42" s="1" t="s">
        <v>19</v>
      </c>
      <c r="C42" s="2">
        <v>4.25</v>
      </c>
      <c r="D42" s="2">
        <v>4</v>
      </c>
      <c r="E42" s="2">
        <v>1.575</v>
      </c>
      <c r="F42" s="2">
        <v>2.9529999999999998</v>
      </c>
      <c r="G42" s="2">
        <v>2.3620000000000001</v>
      </c>
      <c r="H42" s="2">
        <v>4.75</v>
      </c>
      <c r="I42" s="2">
        <v>4.75</v>
      </c>
      <c r="J42" s="2">
        <v>1.575</v>
      </c>
      <c r="K42" s="2">
        <v>2.9529999999999998</v>
      </c>
      <c r="L42" s="2">
        <v>2.3620000000000001</v>
      </c>
    </row>
    <row r="43" spans="1:12" x14ac:dyDescent="0.25">
      <c r="A43" s="1">
        <v>42</v>
      </c>
      <c r="B43" s="1" t="s">
        <v>32</v>
      </c>
      <c r="C43" s="2">
        <v>4.5</v>
      </c>
      <c r="D43" s="2">
        <v>4</v>
      </c>
      <c r="E43" s="2">
        <v>1.575</v>
      </c>
      <c r="F43" s="2">
        <v>2.9529999999999998</v>
      </c>
      <c r="G43" s="2">
        <v>2.3620000000000001</v>
      </c>
      <c r="H43" s="2">
        <v>4.5</v>
      </c>
      <c r="I43" s="2">
        <v>4</v>
      </c>
      <c r="J43" s="2">
        <v>1.575</v>
      </c>
      <c r="K43" s="2">
        <v>2.9529999999999998</v>
      </c>
      <c r="L43" s="2">
        <v>2.3620000000000001</v>
      </c>
    </row>
    <row r="44" spans="1:12" x14ac:dyDescent="0.25">
      <c r="A44" s="1">
        <v>43</v>
      </c>
      <c r="B44" s="1" t="s">
        <v>51</v>
      </c>
      <c r="C44" s="2">
        <v>4.5</v>
      </c>
      <c r="D44" s="2">
        <v>4</v>
      </c>
      <c r="E44" s="2">
        <v>1.575</v>
      </c>
      <c r="F44" s="2">
        <v>2.9529999999999998</v>
      </c>
      <c r="G44" s="2">
        <v>1.968</v>
      </c>
      <c r="H44" s="2">
        <v>4.5</v>
      </c>
      <c r="I44" s="2">
        <v>4</v>
      </c>
      <c r="J44" s="2">
        <v>1.575</v>
      </c>
      <c r="K44" s="2">
        <v>2.9529999999999998</v>
      </c>
      <c r="L44" s="2">
        <v>2.7559999999999998</v>
      </c>
    </row>
    <row r="45" spans="1:12" x14ac:dyDescent="0.25">
      <c r="A45" s="1">
        <v>44</v>
      </c>
      <c r="B45" s="1" t="s">
        <v>28</v>
      </c>
      <c r="C45" s="2">
        <v>4.5</v>
      </c>
      <c r="D45" s="2">
        <v>3</v>
      </c>
      <c r="E45" s="2">
        <v>1.125</v>
      </c>
      <c r="F45" s="2">
        <v>3</v>
      </c>
      <c r="G45" s="2">
        <v>2</v>
      </c>
      <c r="H45" s="2">
        <v>4.5</v>
      </c>
      <c r="I45" s="2">
        <v>3</v>
      </c>
      <c r="J45" s="2">
        <v>1.125</v>
      </c>
      <c r="K45" s="2">
        <v>3</v>
      </c>
      <c r="L45" s="2">
        <v>2</v>
      </c>
    </row>
    <row r="46" spans="1:12" x14ac:dyDescent="0.25">
      <c r="A46" s="1">
        <v>45</v>
      </c>
      <c r="B46" s="12" t="s">
        <v>17</v>
      </c>
      <c r="C46" s="2">
        <v>3.5</v>
      </c>
      <c r="D46" s="2">
        <v>3</v>
      </c>
      <c r="E46" s="2">
        <v>1.25</v>
      </c>
      <c r="F46" s="2">
        <v>2</v>
      </c>
      <c r="G46" s="2">
        <v>2</v>
      </c>
      <c r="H46" s="2">
        <v>4</v>
      </c>
      <c r="I46" s="2">
        <v>4.5</v>
      </c>
      <c r="J46" s="2">
        <v>1.25</v>
      </c>
      <c r="K46" s="2">
        <v>2</v>
      </c>
      <c r="L46" s="2">
        <v>2</v>
      </c>
    </row>
    <row r="47" spans="1:12" x14ac:dyDescent="0.25">
      <c r="A47" s="1">
        <v>46</v>
      </c>
      <c r="B47" s="17" t="s">
        <v>23</v>
      </c>
      <c r="C47" s="2">
        <v>3.5</v>
      </c>
      <c r="D47" s="2">
        <v>3</v>
      </c>
      <c r="E47" s="2">
        <v>1.375</v>
      </c>
      <c r="F47" s="2">
        <v>1.8125</v>
      </c>
      <c r="G47" s="2">
        <v>2</v>
      </c>
      <c r="H47" s="2">
        <v>3.5</v>
      </c>
      <c r="I47" s="2">
        <v>3</v>
      </c>
      <c r="J47" s="2">
        <v>1.375</v>
      </c>
      <c r="K47" s="2">
        <v>1.8125</v>
      </c>
      <c r="L47" s="2">
        <v>2</v>
      </c>
    </row>
    <row r="48" spans="1:12" x14ac:dyDescent="0.25">
      <c r="A48" s="1">
        <v>47</v>
      </c>
      <c r="B48" s="1" t="s">
        <v>52</v>
      </c>
      <c r="C48" s="2">
        <v>5</v>
      </c>
      <c r="D48" s="2">
        <v>3</v>
      </c>
      <c r="E48" s="2">
        <v>0.5</v>
      </c>
      <c r="F48" s="2">
        <v>0.75</v>
      </c>
      <c r="G48" s="2">
        <v>0.5</v>
      </c>
      <c r="H48" s="2">
        <v>5</v>
      </c>
      <c r="I48" s="2">
        <v>3</v>
      </c>
      <c r="J48" s="2">
        <v>0.5</v>
      </c>
      <c r="K48" s="2">
        <v>0.75</v>
      </c>
      <c r="L48" s="2">
        <v>0.5</v>
      </c>
    </row>
    <row r="49" spans="1:22" x14ac:dyDescent="0.25">
      <c r="A49" s="1">
        <v>48</v>
      </c>
      <c r="B49" s="1" t="s">
        <v>53</v>
      </c>
      <c r="C49" s="2">
        <v>5</v>
      </c>
      <c r="D49" s="2">
        <v>3</v>
      </c>
      <c r="E49" s="2">
        <v>0.5</v>
      </c>
      <c r="F49" s="2">
        <v>0.75</v>
      </c>
      <c r="G49" s="2">
        <v>0.5</v>
      </c>
      <c r="H49" s="2">
        <v>5</v>
      </c>
      <c r="I49" s="2">
        <v>3</v>
      </c>
      <c r="J49" s="2">
        <v>0.5</v>
      </c>
      <c r="K49" s="2">
        <v>0.75</v>
      </c>
      <c r="L49" s="2">
        <v>0.5</v>
      </c>
    </row>
    <row r="50" spans="1:22" x14ac:dyDescent="0.25">
      <c r="A50" s="1">
        <v>49</v>
      </c>
      <c r="B50" s="1" t="s">
        <v>54</v>
      </c>
      <c r="C50" s="2">
        <v>4</v>
      </c>
      <c r="D50" s="2">
        <v>3</v>
      </c>
      <c r="E50" s="2">
        <v>1.125</v>
      </c>
      <c r="F50" s="2">
        <v>2.4375</v>
      </c>
      <c r="G50" s="2">
        <v>1.5</v>
      </c>
      <c r="H50" s="2">
        <v>4</v>
      </c>
      <c r="I50" s="2">
        <v>3</v>
      </c>
      <c r="J50" s="2">
        <v>1.125</v>
      </c>
      <c r="K50" s="2">
        <v>2.4375</v>
      </c>
      <c r="L50" s="2">
        <v>1.5</v>
      </c>
    </row>
    <row r="51" spans="1:22" x14ac:dyDescent="0.25">
      <c r="A51" s="1">
        <v>50</v>
      </c>
      <c r="B51" s="1" t="s">
        <v>55</v>
      </c>
      <c r="C51" s="2">
        <v>5</v>
      </c>
      <c r="D51" s="2">
        <v>3</v>
      </c>
      <c r="E51" s="2">
        <v>0.5</v>
      </c>
      <c r="F51" s="2">
        <v>0.75</v>
      </c>
      <c r="G51" s="2">
        <v>0.5</v>
      </c>
      <c r="H51" s="2">
        <v>5</v>
      </c>
      <c r="I51" s="2">
        <v>3</v>
      </c>
      <c r="J51" s="2">
        <v>0.5</v>
      </c>
      <c r="K51" s="2">
        <v>0.75</v>
      </c>
      <c r="L51" s="2">
        <v>0.5</v>
      </c>
    </row>
    <row r="52" spans="1:22" x14ac:dyDescent="0.25">
      <c r="A52" s="1">
        <v>51</v>
      </c>
      <c r="B52" s="1" t="s">
        <v>56</v>
      </c>
      <c r="C52" s="2">
        <v>4.75</v>
      </c>
      <c r="D52" s="2">
        <v>3</v>
      </c>
      <c r="E52" s="2">
        <v>1.97</v>
      </c>
      <c r="F52" s="2">
        <v>1.97</v>
      </c>
      <c r="G52" s="2">
        <v>0.5</v>
      </c>
      <c r="H52" s="2">
        <v>5</v>
      </c>
      <c r="I52" s="2">
        <v>3</v>
      </c>
      <c r="J52" s="2">
        <v>0.5</v>
      </c>
      <c r="K52" s="2">
        <v>0.75</v>
      </c>
      <c r="L52" s="2">
        <v>0.5</v>
      </c>
    </row>
    <row r="53" spans="1:22" x14ac:dyDescent="0.25">
      <c r="A53" s="1">
        <v>52</v>
      </c>
      <c r="B53" s="1" t="s">
        <v>67</v>
      </c>
      <c r="C53" s="2">
        <v>3.5</v>
      </c>
      <c r="D53" s="2">
        <v>4</v>
      </c>
      <c r="E53" s="2">
        <v>1.5</v>
      </c>
      <c r="F53" s="2">
        <v>2</v>
      </c>
      <c r="G53" s="2">
        <v>2</v>
      </c>
      <c r="H53" s="2">
        <v>3.5</v>
      </c>
      <c r="I53" s="2">
        <v>4</v>
      </c>
      <c r="J53" s="2">
        <v>1.5</v>
      </c>
      <c r="K53" s="2">
        <v>2</v>
      </c>
      <c r="L53" s="2">
        <v>3.375</v>
      </c>
    </row>
    <row r="54" spans="1:22" x14ac:dyDescent="0.25">
      <c r="A54" s="1">
        <v>53</v>
      </c>
      <c r="B54" s="1" t="s">
        <v>103</v>
      </c>
      <c r="C54" s="2">
        <v>6</v>
      </c>
      <c r="D54" s="2">
        <v>3.5</v>
      </c>
      <c r="E54" s="2">
        <v>1.25</v>
      </c>
      <c r="F54" s="2">
        <v>3</v>
      </c>
      <c r="G54" s="2">
        <v>2.75</v>
      </c>
      <c r="H54" s="2">
        <v>6</v>
      </c>
      <c r="I54" s="2">
        <v>6.7</v>
      </c>
      <c r="J54" s="2">
        <v>2</v>
      </c>
      <c r="K54" s="2">
        <v>3</v>
      </c>
      <c r="L54" s="2">
        <v>2</v>
      </c>
    </row>
    <row r="55" spans="1:22" x14ac:dyDescent="0.25">
      <c r="A55" s="1">
        <v>54</v>
      </c>
      <c r="B55" s="1" t="s">
        <v>59</v>
      </c>
      <c r="C55" s="2">
        <v>3.25</v>
      </c>
      <c r="D55" s="2">
        <v>4.375</v>
      </c>
      <c r="E55" s="2">
        <v>1.772</v>
      </c>
      <c r="F55" s="2">
        <v>1.575</v>
      </c>
      <c r="G55" s="2">
        <v>2.56</v>
      </c>
      <c r="H55" s="2">
        <v>3.25</v>
      </c>
      <c r="I55" s="2">
        <v>4.375</v>
      </c>
      <c r="J55" s="2">
        <v>1.772</v>
      </c>
      <c r="K55" s="2">
        <v>1.575</v>
      </c>
      <c r="L55" s="2">
        <v>2.5</v>
      </c>
    </row>
    <row r="56" spans="1:22" x14ac:dyDescent="0.25">
      <c r="A56" s="1">
        <v>55</v>
      </c>
      <c r="B56" s="1" t="s">
        <v>62</v>
      </c>
      <c r="C56" s="2">
        <v>3</v>
      </c>
      <c r="D56" s="2">
        <v>3</v>
      </c>
      <c r="E56" s="2">
        <v>1.125</v>
      </c>
      <c r="F56" s="2">
        <v>2</v>
      </c>
      <c r="G56" s="2">
        <v>2</v>
      </c>
      <c r="H56" s="2">
        <v>3</v>
      </c>
      <c r="I56" s="2">
        <v>3</v>
      </c>
      <c r="J56" s="2">
        <v>1.125</v>
      </c>
      <c r="K56" s="2">
        <v>2</v>
      </c>
      <c r="L56" s="2">
        <v>2</v>
      </c>
    </row>
    <row r="57" spans="1:22" x14ac:dyDescent="0.25">
      <c r="A57" s="1">
        <v>56</v>
      </c>
      <c r="B57" s="1" t="s">
        <v>63</v>
      </c>
      <c r="C57" s="2">
        <v>4</v>
      </c>
      <c r="D57" s="2">
        <v>6</v>
      </c>
      <c r="E57" s="2">
        <v>2</v>
      </c>
      <c r="F57" s="2">
        <v>2</v>
      </c>
      <c r="G57" s="2">
        <v>2</v>
      </c>
      <c r="H57" s="2">
        <v>4</v>
      </c>
      <c r="I57" s="2">
        <v>6</v>
      </c>
      <c r="J57" s="2">
        <v>2</v>
      </c>
      <c r="K57" s="2">
        <v>2</v>
      </c>
      <c r="L57" s="2">
        <v>2</v>
      </c>
    </row>
    <row r="58" spans="1:22" x14ac:dyDescent="0.25">
      <c r="A58" s="1">
        <v>57</v>
      </c>
      <c r="B58" s="1" t="s">
        <v>66</v>
      </c>
      <c r="C58" s="2">
        <v>2.5</v>
      </c>
      <c r="D58" s="2">
        <v>3</v>
      </c>
      <c r="E58" s="2">
        <v>1.25</v>
      </c>
      <c r="F58" s="2">
        <v>2</v>
      </c>
      <c r="G58" s="2">
        <v>3</v>
      </c>
      <c r="H58" s="2">
        <v>2.5</v>
      </c>
      <c r="I58" s="2">
        <v>3</v>
      </c>
      <c r="J58" s="2">
        <v>1.25</v>
      </c>
      <c r="K58" s="2">
        <v>2</v>
      </c>
      <c r="L58" s="2">
        <v>3</v>
      </c>
    </row>
    <row r="59" spans="1:22" x14ac:dyDescent="0.25">
      <c r="A59" s="1">
        <v>58</v>
      </c>
      <c r="B59" s="1" t="s">
        <v>68</v>
      </c>
      <c r="C59" s="2">
        <v>3</v>
      </c>
      <c r="D59" s="2">
        <v>3.5</v>
      </c>
      <c r="E59" s="2">
        <v>1.25</v>
      </c>
      <c r="F59" s="2">
        <v>1.5</v>
      </c>
      <c r="G59" s="2">
        <v>2.48</v>
      </c>
      <c r="H59" s="2">
        <v>3</v>
      </c>
      <c r="I59" s="2">
        <v>3.5</v>
      </c>
      <c r="J59" s="2">
        <v>1.25</v>
      </c>
      <c r="K59" s="2">
        <v>1.5</v>
      </c>
      <c r="L59" s="2">
        <v>2.48</v>
      </c>
    </row>
    <row r="60" spans="1:22" x14ac:dyDescent="0.25">
      <c r="A60" s="1">
        <v>59</v>
      </c>
      <c r="B60" s="1" t="s">
        <v>70</v>
      </c>
      <c r="C60" s="2">
        <v>3.75</v>
      </c>
      <c r="D60" s="2">
        <v>3</v>
      </c>
      <c r="E60" s="2">
        <v>1.25</v>
      </c>
      <c r="F60" s="2">
        <v>1.4375</v>
      </c>
      <c r="G60" s="2">
        <v>2</v>
      </c>
      <c r="H60" s="2">
        <v>3.75</v>
      </c>
      <c r="I60" s="2">
        <v>3</v>
      </c>
      <c r="J60" s="2">
        <v>1.25</v>
      </c>
      <c r="K60" s="2">
        <v>1.4375</v>
      </c>
      <c r="L60" s="2">
        <v>2</v>
      </c>
    </row>
    <row r="61" spans="1:22" x14ac:dyDescent="0.25">
      <c r="A61" s="1">
        <v>60</v>
      </c>
      <c r="B61" s="1" t="s">
        <v>71</v>
      </c>
      <c r="C61" s="2">
        <v>3</v>
      </c>
      <c r="D61" s="2">
        <v>4</v>
      </c>
      <c r="E61" s="2">
        <v>1.25</v>
      </c>
      <c r="F61" s="2">
        <v>1.5</v>
      </c>
      <c r="G61" s="2">
        <v>2</v>
      </c>
      <c r="H61" s="2">
        <v>3</v>
      </c>
      <c r="I61" s="2">
        <v>4</v>
      </c>
      <c r="J61" s="2">
        <v>1.25</v>
      </c>
      <c r="K61" s="2">
        <v>1.5</v>
      </c>
      <c r="L61" s="2">
        <v>2</v>
      </c>
    </row>
    <row r="62" spans="1:22" x14ac:dyDescent="0.25">
      <c r="A62" s="1">
        <v>61</v>
      </c>
      <c r="B62" s="1" t="s">
        <v>72</v>
      </c>
      <c r="C62" s="2">
        <v>3</v>
      </c>
      <c r="D62" s="2">
        <v>4</v>
      </c>
      <c r="E62" s="2">
        <v>1.3</v>
      </c>
      <c r="F62" s="2">
        <v>1.25</v>
      </c>
      <c r="G62" s="2">
        <v>2</v>
      </c>
      <c r="H62" s="2">
        <v>3</v>
      </c>
      <c r="I62" s="2">
        <v>4</v>
      </c>
      <c r="J62" s="2">
        <v>1.3</v>
      </c>
      <c r="K62" s="2">
        <v>1.25</v>
      </c>
      <c r="L62" s="2">
        <v>2</v>
      </c>
    </row>
    <row r="63" spans="1:22" x14ac:dyDescent="0.25">
      <c r="A63" s="1">
        <v>62</v>
      </c>
      <c r="B63" s="1" t="s">
        <v>73</v>
      </c>
      <c r="C63" s="2">
        <v>3</v>
      </c>
      <c r="D63" s="2">
        <v>3</v>
      </c>
      <c r="E63" s="2">
        <v>1.25</v>
      </c>
      <c r="F63" s="2">
        <v>1.625</v>
      </c>
      <c r="G63" s="2">
        <v>2</v>
      </c>
      <c r="H63" s="2">
        <v>3</v>
      </c>
      <c r="I63" s="2">
        <v>3</v>
      </c>
      <c r="J63" s="2">
        <v>1.25</v>
      </c>
      <c r="K63" s="2">
        <v>1.625</v>
      </c>
      <c r="L63" s="2">
        <v>2</v>
      </c>
    </row>
    <row r="64" spans="1:22" s="4" customFormat="1" x14ac:dyDescent="0.25">
      <c r="A64" s="1">
        <v>63</v>
      </c>
      <c r="B64" s="1" t="s">
        <v>74</v>
      </c>
      <c r="C64" s="2">
        <v>3</v>
      </c>
      <c r="D64" s="2">
        <v>3</v>
      </c>
      <c r="E64" s="2">
        <v>1</v>
      </c>
      <c r="F64" s="2">
        <v>1.5</v>
      </c>
      <c r="G64" s="2">
        <v>2</v>
      </c>
      <c r="H64" s="2">
        <v>3</v>
      </c>
      <c r="I64" s="2">
        <v>3</v>
      </c>
      <c r="J64" s="2">
        <v>1</v>
      </c>
      <c r="K64" s="2">
        <v>1.5</v>
      </c>
      <c r="L64" s="2">
        <v>2</v>
      </c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12" x14ac:dyDescent="0.25">
      <c r="A65" s="1">
        <v>64</v>
      </c>
      <c r="B65" s="1" t="s">
        <v>143</v>
      </c>
      <c r="C65" s="2">
        <v>3</v>
      </c>
      <c r="D65" s="2">
        <v>3</v>
      </c>
      <c r="E65" s="2">
        <v>1.25</v>
      </c>
      <c r="F65" s="2">
        <v>1.5</v>
      </c>
      <c r="G65" s="2">
        <v>2</v>
      </c>
      <c r="H65" s="2">
        <v>3</v>
      </c>
      <c r="I65" s="2">
        <v>3</v>
      </c>
      <c r="J65" s="2">
        <v>1.25</v>
      </c>
      <c r="K65" s="2">
        <v>1.5</v>
      </c>
      <c r="L65" s="2">
        <v>2</v>
      </c>
    </row>
    <row r="66" spans="1:12" x14ac:dyDescent="0.25">
      <c r="A66" s="1">
        <v>65</v>
      </c>
      <c r="B66" s="1" t="s">
        <v>75</v>
      </c>
      <c r="C66" s="2">
        <v>3.75</v>
      </c>
      <c r="D66" s="2">
        <v>4</v>
      </c>
      <c r="E66" s="2">
        <v>1.25</v>
      </c>
      <c r="F66" s="2">
        <v>1.75</v>
      </c>
      <c r="G66" s="2">
        <v>2</v>
      </c>
      <c r="H66" s="2">
        <v>5</v>
      </c>
      <c r="I66" s="2">
        <v>7</v>
      </c>
      <c r="J66" s="2">
        <v>2</v>
      </c>
      <c r="K66" s="2">
        <v>2</v>
      </c>
      <c r="L66" s="2">
        <v>2</v>
      </c>
    </row>
    <row r="67" spans="1:12" x14ac:dyDescent="0.25">
      <c r="A67" s="1">
        <v>66</v>
      </c>
      <c r="B67" s="1" t="s">
        <v>76</v>
      </c>
      <c r="C67" s="2">
        <v>4.5</v>
      </c>
      <c r="D67" s="2">
        <v>3</v>
      </c>
      <c r="E67" s="2">
        <v>1.5</v>
      </c>
      <c r="F67" s="2">
        <v>2.75</v>
      </c>
      <c r="G67" s="2">
        <v>2</v>
      </c>
      <c r="H67" s="2">
        <v>4.5</v>
      </c>
      <c r="I67" s="2">
        <v>3</v>
      </c>
      <c r="J67" s="2">
        <v>1.5</v>
      </c>
      <c r="K67" s="2">
        <v>2.75</v>
      </c>
      <c r="L67" s="2">
        <v>2</v>
      </c>
    </row>
    <row r="68" spans="1:12" x14ac:dyDescent="0.25">
      <c r="A68" s="1">
        <v>67</v>
      </c>
      <c r="B68" s="1" t="s">
        <v>77</v>
      </c>
      <c r="C68" s="2">
        <v>3.9369999999999998</v>
      </c>
      <c r="D68" s="2">
        <v>3.5432999999999999</v>
      </c>
      <c r="E68" s="2">
        <v>1.3778999999999999</v>
      </c>
      <c r="F68" s="2">
        <v>3.5432999999999999</v>
      </c>
      <c r="G68" s="2">
        <v>2.1652999999999998</v>
      </c>
      <c r="H68" s="2">
        <v>3.9369999999999998</v>
      </c>
      <c r="I68" s="2">
        <v>3.5432999999999999</v>
      </c>
      <c r="J68" s="2">
        <v>1.3778999999999999</v>
      </c>
      <c r="K68" s="2">
        <v>3.5432999999999999</v>
      </c>
      <c r="L68" s="2">
        <v>2.1652999999999998</v>
      </c>
    </row>
    <row r="69" spans="1:12" x14ac:dyDescent="0.25">
      <c r="A69" s="1">
        <v>68</v>
      </c>
      <c r="B69" s="1" t="s">
        <v>78</v>
      </c>
      <c r="C69" s="2">
        <v>3.9369999999999998</v>
      </c>
      <c r="D69" s="2">
        <v>3</v>
      </c>
      <c r="E69" s="2">
        <v>1.2598</v>
      </c>
      <c r="F69" s="2">
        <v>1.5748</v>
      </c>
      <c r="G69" s="2">
        <v>1.9684999999999999</v>
      </c>
      <c r="H69" s="2">
        <v>3.9369999999999998</v>
      </c>
      <c r="I69" s="2">
        <v>3</v>
      </c>
      <c r="J69" s="2">
        <v>1.2598</v>
      </c>
      <c r="K69" s="2">
        <v>1.5748</v>
      </c>
      <c r="L69" s="2">
        <v>1.9684999999999999</v>
      </c>
    </row>
    <row r="70" spans="1:12" x14ac:dyDescent="0.25">
      <c r="A70" s="1">
        <v>69</v>
      </c>
      <c r="B70" s="1" t="s">
        <v>79</v>
      </c>
      <c r="C70" s="2">
        <v>4</v>
      </c>
      <c r="D70" s="2">
        <v>3</v>
      </c>
      <c r="E70" s="2">
        <v>1.125</v>
      </c>
      <c r="F70" s="2">
        <v>1.5</v>
      </c>
      <c r="G70" s="2">
        <v>2</v>
      </c>
      <c r="H70" s="2">
        <v>4</v>
      </c>
      <c r="I70" s="2">
        <v>3</v>
      </c>
      <c r="J70" s="2">
        <v>1.125</v>
      </c>
      <c r="K70" s="2">
        <v>1.5</v>
      </c>
      <c r="L70" s="2">
        <v>2</v>
      </c>
    </row>
    <row r="71" spans="1:12" x14ac:dyDescent="0.25">
      <c r="A71" s="1">
        <v>70</v>
      </c>
      <c r="B71" s="1" t="s">
        <v>80</v>
      </c>
      <c r="C71" s="2">
        <v>3</v>
      </c>
      <c r="D71" s="2">
        <v>3</v>
      </c>
      <c r="E71" s="2">
        <v>1.25</v>
      </c>
      <c r="F71" s="2">
        <v>1.25</v>
      </c>
      <c r="G71" s="2">
        <v>2</v>
      </c>
      <c r="H71" s="2">
        <v>3</v>
      </c>
      <c r="I71" s="2">
        <v>3</v>
      </c>
      <c r="J71" s="2">
        <v>1.25</v>
      </c>
      <c r="K71" s="2">
        <v>1.25</v>
      </c>
      <c r="L71" s="2">
        <v>2</v>
      </c>
    </row>
    <row r="72" spans="1:12" x14ac:dyDescent="0.25">
      <c r="A72" s="1">
        <v>71</v>
      </c>
      <c r="B72" s="1" t="s">
        <v>81</v>
      </c>
      <c r="C72" s="2">
        <v>4</v>
      </c>
      <c r="D72" s="2">
        <v>4</v>
      </c>
      <c r="E72" s="2">
        <v>1.5</v>
      </c>
      <c r="F72" s="2">
        <v>2.25</v>
      </c>
      <c r="G72" s="2">
        <v>3</v>
      </c>
      <c r="H72" s="2">
        <v>4</v>
      </c>
      <c r="I72" s="2">
        <v>5</v>
      </c>
      <c r="J72" s="2">
        <v>1.5</v>
      </c>
      <c r="K72" s="2">
        <v>2.25</v>
      </c>
      <c r="L72" s="2">
        <v>3</v>
      </c>
    </row>
    <row r="73" spans="1:12" x14ac:dyDescent="0.25">
      <c r="A73" s="1">
        <v>72</v>
      </c>
      <c r="B73" s="1" t="s">
        <v>82</v>
      </c>
      <c r="C73" s="2">
        <v>5</v>
      </c>
      <c r="D73" s="2">
        <v>6</v>
      </c>
      <c r="E73" s="2">
        <v>1.25</v>
      </c>
      <c r="F73" s="2">
        <v>3</v>
      </c>
      <c r="G73" s="2">
        <v>2.5</v>
      </c>
      <c r="H73" s="2">
        <v>5</v>
      </c>
      <c r="I73" s="2">
        <v>6</v>
      </c>
      <c r="J73" s="2">
        <v>1.25</v>
      </c>
      <c r="K73" s="2">
        <v>3</v>
      </c>
      <c r="L73" s="2">
        <v>2.5</v>
      </c>
    </row>
    <row r="74" spans="1:12" x14ac:dyDescent="0.25">
      <c r="A74" s="1">
        <v>73</v>
      </c>
      <c r="B74" s="1" t="s">
        <v>83</v>
      </c>
      <c r="C74" s="2">
        <v>4</v>
      </c>
      <c r="D74" s="2">
        <v>3</v>
      </c>
      <c r="E74" s="2">
        <v>1.5</v>
      </c>
      <c r="F74" s="2">
        <v>2.25</v>
      </c>
      <c r="G74" s="2">
        <v>2</v>
      </c>
      <c r="H74" s="2">
        <v>4</v>
      </c>
      <c r="I74" s="2">
        <v>3</v>
      </c>
      <c r="J74" s="2">
        <v>1.5</v>
      </c>
      <c r="K74" s="2">
        <v>2.25</v>
      </c>
      <c r="L74" s="2">
        <v>2</v>
      </c>
    </row>
    <row r="75" spans="1:12" x14ac:dyDescent="0.25">
      <c r="A75" s="1">
        <v>74</v>
      </c>
      <c r="B75" s="1" t="s">
        <v>84</v>
      </c>
      <c r="C75" s="2">
        <v>3</v>
      </c>
      <c r="D75" s="2">
        <v>3</v>
      </c>
      <c r="E75" s="2">
        <v>1.125</v>
      </c>
      <c r="F75" s="2">
        <v>1.75</v>
      </c>
      <c r="G75" s="2">
        <v>2</v>
      </c>
      <c r="H75" s="2">
        <v>3</v>
      </c>
      <c r="I75" s="2">
        <v>3</v>
      </c>
      <c r="J75" s="2">
        <v>1.125</v>
      </c>
      <c r="K75" s="2">
        <v>1.75</v>
      </c>
      <c r="L75" s="2">
        <v>2</v>
      </c>
    </row>
    <row r="76" spans="1:12" x14ac:dyDescent="0.25">
      <c r="A76" s="1">
        <v>75</v>
      </c>
      <c r="B76" s="1" t="s">
        <v>169</v>
      </c>
      <c r="C76" s="2">
        <v>4.7244000000000002</v>
      </c>
      <c r="D76" s="2">
        <v>3.5432999999999999</v>
      </c>
      <c r="E76" s="2">
        <v>1.3778999999999999</v>
      </c>
      <c r="F76" s="2">
        <v>1.3778999999999999</v>
      </c>
      <c r="G76" s="2">
        <v>2.1652999999999998</v>
      </c>
      <c r="H76" s="2">
        <v>4.7244000000000002</v>
      </c>
      <c r="I76" s="2">
        <v>6</v>
      </c>
      <c r="J76" s="2">
        <v>1.3778999999999999</v>
      </c>
      <c r="K76" s="2">
        <v>1.3778999999999999</v>
      </c>
      <c r="L76" s="2">
        <v>2.5590000000000002</v>
      </c>
    </row>
    <row r="77" spans="1:12" x14ac:dyDescent="0.25">
      <c r="A77" s="1">
        <v>76</v>
      </c>
      <c r="B77" s="1" t="s">
        <v>85</v>
      </c>
      <c r="C77" s="2">
        <v>3.875</v>
      </c>
      <c r="D77" s="2">
        <v>3</v>
      </c>
      <c r="E77" s="2">
        <v>0</v>
      </c>
      <c r="F77" s="2">
        <v>0</v>
      </c>
      <c r="G77" s="2">
        <v>2</v>
      </c>
      <c r="H77" s="2">
        <v>3.875</v>
      </c>
      <c r="I77" s="2">
        <v>3</v>
      </c>
      <c r="J77" s="2">
        <v>0</v>
      </c>
      <c r="K77" s="2">
        <v>0</v>
      </c>
      <c r="L77" s="2">
        <v>2</v>
      </c>
    </row>
    <row r="78" spans="1:12" x14ac:dyDescent="0.25">
      <c r="A78" s="1">
        <v>77</v>
      </c>
      <c r="B78" s="1" t="s">
        <v>86</v>
      </c>
      <c r="C78" s="2">
        <v>5</v>
      </c>
      <c r="D78" s="2">
        <v>6</v>
      </c>
      <c r="E78" s="2">
        <v>1.25</v>
      </c>
      <c r="F78" s="2">
        <v>3</v>
      </c>
      <c r="G78" s="2">
        <v>2</v>
      </c>
      <c r="H78" s="2">
        <v>5</v>
      </c>
      <c r="I78" s="2">
        <v>6</v>
      </c>
      <c r="J78" s="2">
        <v>1.25</v>
      </c>
      <c r="K78" s="2">
        <v>3</v>
      </c>
      <c r="L78" s="2">
        <v>2.5</v>
      </c>
    </row>
    <row r="79" spans="1:12" x14ac:dyDescent="0.25">
      <c r="A79" s="1">
        <v>78</v>
      </c>
      <c r="B79" s="1" t="s">
        <v>87</v>
      </c>
      <c r="C79" s="2">
        <v>5</v>
      </c>
      <c r="D79" s="2">
        <v>6</v>
      </c>
      <c r="E79" s="2">
        <v>1.25</v>
      </c>
      <c r="F79" s="2">
        <v>3</v>
      </c>
      <c r="G79" s="2">
        <v>2</v>
      </c>
      <c r="H79" s="2">
        <v>5</v>
      </c>
      <c r="I79" s="2">
        <v>6</v>
      </c>
      <c r="J79" s="2">
        <v>1.25</v>
      </c>
      <c r="K79" s="2">
        <v>3</v>
      </c>
      <c r="L79" s="2">
        <v>2.1652999999999998</v>
      </c>
    </row>
    <row r="80" spans="1:12" x14ac:dyDescent="0.25">
      <c r="A80" s="1">
        <v>79</v>
      </c>
      <c r="B80" s="1" t="s">
        <v>88</v>
      </c>
      <c r="C80" s="2">
        <v>3.5</v>
      </c>
      <c r="D80" s="2">
        <v>4</v>
      </c>
      <c r="E80" s="2">
        <v>1.3778999999999999</v>
      </c>
      <c r="F80" s="2">
        <v>1.7716000000000001</v>
      </c>
      <c r="G80" s="2">
        <v>2.4803000000000002</v>
      </c>
      <c r="H80" s="2">
        <v>3.5</v>
      </c>
      <c r="I80" s="2">
        <v>4</v>
      </c>
      <c r="J80" s="2">
        <v>1.3778999999999999</v>
      </c>
      <c r="K80" s="2">
        <v>1.7716000000000001</v>
      </c>
      <c r="L80" s="2">
        <v>2.4803000000000002</v>
      </c>
    </row>
    <row r="81" spans="1:12" x14ac:dyDescent="0.25">
      <c r="A81" s="1">
        <v>80</v>
      </c>
      <c r="B81" s="1" t="s">
        <v>89</v>
      </c>
      <c r="C81" s="2">
        <v>3</v>
      </c>
      <c r="D81" s="2">
        <v>3</v>
      </c>
      <c r="E81" s="2">
        <v>1.25</v>
      </c>
      <c r="F81" s="2">
        <v>1.375</v>
      </c>
      <c r="G81" s="2">
        <v>2.5</v>
      </c>
      <c r="H81" s="2">
        <v>3</v>
      </c>
      <c r="I81" s="2">
        <v>3</v>
      </c>
      <c r="J81" s="2">
        <v>1.25</v>
      </c>
      <c r="K81" s="2">
        <v>1.375</v>
      </c>
      <c r="L81" s="2">
        <v>2.5</v>
      </c>
    </row>
    <row r="82" spans="1:12" x14ac:dyDescent="0.25">
      <c r="A82" s="1">
        <v>81</v>
      </c>
      <c r="B82" s="1" t="s">
        <v>90</v>
      </c>
      <c r="C82" s="2">
        <v>3.9369999999999998</v>
      </c>
      <c r="D82" s="2">
        <v>5.9055</v>
      </c>
      <c r="E82" s="2">
        <v>1.3778999999999999</v>
      </c>
      <c r="F82" s="2">
        <v>2.8542999999999998</v>
      </c>
      <c r="G82" s="2">
        <v>2.1652999999999998</v>
      </c>
      <c r="H82" s="2">
        <v>3.9369999999999998</v>
      </c>
      <c r="I82" s="2">
        <v>5.9055</v>
      </c>
      <c r="J82" s="2">
        <v>1.3778999999999999</v>
      </c>
      <c r="K82" s="2">
        <v>2.8542999999999998</v>
      </c>
      <c r="L82" s="2">
        <v>2.1652999999999998</v>
      </c>
    </row>
    <row r="83" spans="1:12" x14ac:dyDescent="0.25">
      <c r="A83" s="1">
        <v>82</v>
      </c>
      <c r="B83" s="1" t="s">
        <v>91</v>
      </c>
      <c r="C83" s="2">
        <v>5.9055</v>
      </c>
      <c r="D83" s="2">
        <v>5.1181000000000001</v>
      </c>
      <c r="E83" s="2">
        <v>1.5748</v>
      </c>
      <c r="F83" s="2">
        <v>1.9684999999999999</v>
      </c>
      <c r="G83" s="2">
        <v>2.1652999999999998</v>
      </c>
      <c r="H83" s="2">
        <v>5.9055</v>
      </c>
      <c r="I83" s="2">
        <v>5.1181000000000001</v>
      </c>
      <c r="J83" s="2">
        <v>1.5748</v>
      </c>
      <c r="K83" s="2">
        <v>1.9684999999999999</v>
      </c>
      <c r="L83" s="2">
        <v>2.1652999999999998</v>
      </c>
    </row>
    <row r="84" spans="1:12" x14ac:dyDescent="0.25">
      <c r="A84" s="1">
        <v>83</v>
      </c>
      <c r="B84" s="6" t="s">
        <v>92</v>
      </c>
      <c r="C84" s="2">
        <v>5.9055</v>
      </c>
      <c r="D84" s="2">
        <v>5.1181000000000001</v>
      </c>
      <c r="E84" s="2">
        <v>1.1811</v>
      </c>
      <c r="F84" s="2">
        <v>1.9684999999999999</v>
      </c>
      <c r="G84" s="2">
        <v>2.1652999999999998</v>
      </c>
      <c r="H84" s="2">
        <v>5.9055</v>
      </c>
      <c r="I84" s="2">
        <v>5.1181000000000001</v>
      </c>
      <c r="J84" s="2">
        <v>1.1811</v>
      </c>
      <c r="K84" s="2">
        <v>1.9684999999999999</v>
      </c>
      <c r="L84" s="2">
        <v>2.1652999999999998</v>
      </c>
    </row>
    <row r="85" spans="1:12" x14ac:dyDescent="0.25">
      <c r="A85" s="1">
        <v>84</v>
      </c>
      <c r="B85" s="1" t="s">
        <v>93</v>
      </c>
      <c r="C85" s="2">
        <v>5.9055</v>
      </c>
      <c r="D85" s="2">
        <v>5.1181000000000001</v>
      </c>
      <c r="E85" s="2">
        <v>1.5748</v>
      </c>
      <c r="F85" s="2">
        <v>1.9684999999999999</v>
      </c>
      <c r="G85" s="2">
        <v>2.7559</v>
      </c>
      <c r="H85" s="2">
        <v>5.9055</v>
      </c>
      <c r="I85" s="2">
        <v>5.1181000000000001</v>
      </c>
      <c r="J85" s="2">
        <v>1.5748</v>
      </c>
      <c r="K85" s="2">
        <v>1.9684999999999999</v>
      </c>
      <c r="L85" s="2">
        <v>2.7559</v>
      </c>
    </row>
    <row r="86" spans="1:12" x14ac:dyDescent="0.25">
      <c r="A86" s="1">
        <v>85</v>
      </c>
      <c r="B86" s="6" t="s">
        <v>94</v>
      </c>
      <c r="C86" s="2">
        <v>5.5118</v>
      </c>
      <c r="D86" s="2">
        <v>4.3307000000000002</v>
      </c>
      <c r="E86" s="2">
        <v>1.7716000000000001</v>
      </c>
      <c r="F86" s="2">
        <v>1.7716000000000001</v>
      </c>
      <c r="G86" s="2">
        <v>1.9684999999999999</v>
      </c>
      <c r="H86" s="2">
        <v>4.3307000000000002</v>
      </c>
      <c r="I86" s="2">
        <v>4.9211999999999998</v>
      </c>
      <c r="J86" s="2">
        <v>1.7716000000000001</v>
      </c>
      <c r="K86" s="2">
        <v>1.7716000000000001</v>
      </c>
      <c r="L86" s="2">
        <v>1.9684999999999999</v>
      </c>
    </row>
    <row r="87" spans="1:12" x14ac:dyDescent="0.25">
      <c r="A87" s="1">
        <v>86</v>
      </c>
      <c r="B87" s="1" t="s">
        <v>144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 x14ac:dyDescent="0.25">
      <c r="A88" s="1">
        <v>87</v>
      </c>
      <c r="B88" s="1" t="s">
        <v>95</v>
      </c>
      <c r="C88" s="2">
        <v>2.5</v>
      </c>
      <c r="D88" s="2">
        <v>3</v>
      </c>
      <c r="E88" s="2">
        <v>1</v>
      </c>
      <c r="F88" s="2">
        <v>1.5</v>
      </c>
      <c r="G88" s="2">
        <v>2</v>
      </c>
      <c r="H88" s="2">
        <v>2.5</v>
      </c>
      <c r="I88" s="2">
        <v>3</v>
      </c>
      <c r="J88" s="2">
        <v>1</v>
      </c>
      <c r="K88" s="2">
        <v>1.5</v>
      </c>
      <c r="L88" s="2">
        <v>2</v>
      </c>
    </row>
    <row r="89" spans="1:12" x14ac:dyDescent="0.25">
      <c r="A89" s="1">
        <v>88</v>
      </c>
      <c r="B89" s="1" t="s">
        <v>61</v>
      </c>
      <c r="C89" s="2">
        <v>4</v>
      </c>
      <c r="D89" s="2">
        <v>3</v>
      </c>
      <c r="E89" s="2">
        <v>1.25</v>
      </c>
      <c r="F89" s="2">
        <v>2</v>
      </c>
      <c r="G89" s="2">
        <v>2</v>
      </c>
      <c r="H89" s="2">
        <v>4</v>
      </c>
      <c r="I89" s="2">
        <v>3</v>
      </c>
      <c r="J89" s="2">
        <v>1.25</v>
      </c>
      <c r="K89" s="2">
        <v>2</v>
      </c>
      <c r="L89" s="2">
        <v>2</v>
      </c>
    </row>
    <row r="90" spans="1:12" x14ac:dyDescent="0.25">
      <c r="A90" s="1">
        <v>89</v>
      </c>
      <c r="B90" s="1" t="s">
        <v>97</v>
      </c>
      <c r="C90" s="2">
        <v>3.9369999999999998</v>
      </c>
      <c r="D90" s="2">
        <v>5.9055</v>
      </c>
      <c r="E90" s="2">
        <v>1.496</v>
      </c>
      <c r="F90" s="2">
        <v>1.1811</v>
      </c>
      <c r="G90" s="2">
        <v>2.5590000000000002</v>
      </c>
      <c r="H90" s="2">
        <v>3.9369999999999998</v>
      </c>
      <c r="I90" s="2">
        <v>5.9055</v>
      </c>
      <c r="J90" s="2">
        <v>1.496</v>
      </c>
      <c r="K90" s="2">
        <v>1.1811</v>
      </c>
      <c r="L90" s="2">
        <v>2.5590000000000002</v>
      </c>
    </row>
    <row r="91" spans="1:12" x14ac:dyDescent="0.25">
      <c r="A91" s="1">
        <v>90</v>
      </c>
      <c r="B91" s="1" t="s">
        <v>98</v>
      </c>
      <c r="C91" s="2">
        <v>5</v>
      </c>
      <c r="D91" s="2">
        <v>3</v>
      </c>
      <c r="E91" s="2">
        <v>1.25</v>
      </c>
      <c r="F91" s="2">
        <v>1.5</v>
      </c>
      <c r="G91" s="2">
        <v>2</v>
      </c>
      <c r="H91" s="2">
        <v>5</v>
      </c>
      <c r="I91" s="2">
        <v>3</v>
      </c>
      <c r="J91" s="2">
        <v>1.25</v>
      </c>
      <c r="K91" s="2">
        <v>1.5</v>
      </c>
      <c r="L91" s="2">
        <v>2</v>
      </c>
    </row>
    <row r="92" spans="1:12" x14ac:dyDescent="0.25">
      <c r="A92" s="1">
        <v>91</v>
      </c>
      <c r="B92" s="6" t="s">
        <v>99</v>
      </c>
      <c r="C92" s="2">
        <v>4.25</v>
      </c>
      <c r="D92" s="2">
        <v>4</v>
      </c>
      <c r="E92" s="2">
        <v>1.25</v>
      </c>
      <c r="F92" s="2">
        <v>2.625</v>
      </c>
      <c r="G92" s="2">
        <v>2</v>
      </c>
      <c r="H92" s="2">
        <v>4.25</v>
      </c>
      <c r="I92" s="2">
        <v>4</v>
      </c>
      <c r="J92" s="2">
        <v>1.25</v>
      </c>
      <c r="K92" s="2">
        <v>2.625</v>
      </c>
      <c r="L92" s="2">
        <v>2</v>
      </c>
    </row>
    <row r="93" spans="1:12" x14ac:dyDescent="0.25">
      <c r="A93" s="1">
        <v>92</v>
      </c>
      <c r="B93" s="1" t="s">
        <v>101</v>
      </c>
      <c r="C93" s="2">
        <v>3.5432999999999999</v>
      </c>
      <c r="D93" s="2">
        <v>3.5432999999999999</v>
      </c>
      <c r="E93" s="2">
        <v>0.94479999999999997</v>
      </c>
      <c r="F93" s="2">
        <v>1.5748</v>
      </c>
      <c r="G93" s="2">
        <v>1.9684999999999999</v>
      </c>
      <c r="H93" s="2">
        <v>3.5432999999999999</v>
      </c>
      <c r="I93" s="2">
        <v>3.5432999999999999</v>
      </c>
      <c r="J93" s="2">
        <v>0.94479999999999997</v>
      </c>
      <c r="K93" s="2">
        <v>1.5748</v>
      </c>
      <c r="L93" s="2">
        <v>1.9684999999999999</v>
      </c>
    </row>
    <row r="94" spans="1:12" x14ac:dyDescent="0.25">
      <c r="A94" s="1">
        <v>93</v>
      </c>
      <c r="B94" s="1" t="s">
        <v>102</v>
      </c>
      <c r="C94" s="2">
        <v>2.25</v>
      </c>
      <c r="D94" s="2">
        <v>2.5</v>
      </c>
      <c r="E94" s="2">
        <v>1</v>
      </c>
      <c r="F94" s="2">
        <v>1.25</v>
      </c>
      <c r="G94" s="2">
        <v>2</v>
      </c>
      <c r="H94" s="2">
        <v>2.25</v>
      </c>
      <c r="I94" s="2">
        <v>2.5</v>
      </c>
      <c r="J94" s="2">
        <v>1</v>
      </c>
      <c r="K94" s="2">
        <v>1.25</v>
      </c>
      <c r="L94" s="2">
        <v>2</v>
      </c>
    </row>
    <row r="95" spans="1:12" x14ac:dyDescent="0.25">
      <c r="A95" s="1">
        <v>94</v>
      </c>
      <c r="B95" s="1" t="s">
        <v>104</v>
      </c>
      <c r="C95" s="2">
        <v>6</v>
      </c>
      <c r="D95" s="2">
        <v>3</v>
      </c>
      <c r="E95" s="2">
        <v>1.125</v>
      </c>
      <c r="F95" s="2">
        <v>2.75</v>
      </c>
      <c r="G95" s="2">
        <v>2</v>
      </c>
      <c r="H95" s="2">
        <v>6</v>
      </c>
      <c r="I95" s="2">
        <v>3</v>
      </c>
      <c r="J95" s="2">
        <v>1.125</v>
      </c>
      <c r="K95" s="2">
        <v>2.75</v>
      </c>
      <c r="L95" s="2">
        <v>2</v>
      </c>
    </row>
    <row r="96" spans="1:12" x14ac:dyDescent="0.25">
      <c r="A96" s="1">
        <v>95</v>
      </c>
      <c r="B96" s="1" t="s">
        <v>105</v>
      </c>
      <c r="C96" s="2">
        <v>6</v>
      </c>
      <c r="D96" s="2">
        <v>3</v>
      </c>
      <c r="E96" s="2">
        <v>1.25</v>
      </c>
      <c r="F96" s="2">
        <v>2.75</v>
      </c>
      <c r="G96" s="2">
        <v>2</v>
      </c>
      <c r="H96" s="2">
        <v>6</v>
      </c>
      <c r="I96" s="2">
        <v>3</v>
      </c>
      <c r="J96" s="2">
        <v>1.25</v>
      </c>
      <c r="K96" s="2">
        <v>2.75</v>
      </c>
      <c r="L96" s="2">
        <v>2</v>
      </c>
    </row>
    <row r="97" spans="1:12" x14ac:dyDescent="0.25">
      <c r="A97" s="1">
        <v>96</v>
      </c>
      <c r="B97" s="1" t="s">
        <v>106</v>
      </c>
      <c r="C97" s="2">
        <v>4</v>
      </c>
      <c r="D97" s="2">
        <v>3</v>
      </c>
      <c r="E97" s="2">
        <v>1.25</v>
      </c>
      <c r="F97" s="2">
        <v>2</v>
      </c>
      <c r="G97" s="2">
        <v>2</v>
      </c>
      <c r="H97" s="2">
        <v>4</v>
      </c>
      <c r="I97" s="2">
        <v>3</v>
      </c>
      <c r="J97" s="2">
        <v>1.25</v>
      </c>
      <c r="K97" s="2">
        <v>2</v>
      </c>
      <c r="L97" s="2">
        <v>2</v>
      </c>
    </row>
    <row r="98" spans="1:12" x14ac:dyDescent="0.25">
      <c r="A98" s="1">
        <v>97</v>
      </c>
      <c r="B98" s="1" t="s">
        <v>107</v>
      </c>
      <c r="C98" s="2">
        <v>4.25</v>
      </c>
      <c r="D98" s="2">
        <v>3</v>
      </c>
      <c r="E98" s="2">
        <v>1.125</v>
      </c>
      <c r="F98" s="2">
        <v>2.25</v>
      </c>
      <c r="G98" s="2">
        <v>2</v>
      </c>
      <c r="H98" s="2">
        <v>4.25</v>
      </c>
      <c r="I98" s="2">
        <v>3</v>
      </c>
      <c r="J98" s="2">
        <v>1.125</v>
      </c>
      <c r="K98" s="2">
        <v>2.25</v>
      </c>
      <c r="L98" s="2">
        <v>3</v>
      </c>
    </row>
    <row r="99" spans="1:12" x14ac:dyDescent="0.25">
      <c r="A99" s="1">
        <v>98</v>
      </c>
      <c r="B99" s="1" t="s">
        <v>108</v>
      </c>
      <c r="C99" s="2">
        <v>4</v>
      </c>
      <c r="D99" s="2">
        <v>5.1181000000000001</v>
      </c>
      <c r="E99" s="2">
        <v>1.5</v>
      </c>
      <c r="F99" s="2">
        <v>2.5499999999999998</v>
      </c>
      <c r="G99" s="2">
        <v>1.9684999999999999</v>
      </c>
      <c r="H99" s="2">
        <v>4</v>
      </c>
      <c r="I99" s="2">
        <v>5.1181000000000001</v>
      </c>
      <c r="J99" s="2">
        <v>1.5</v>
      </c>
      <c r="K99" s="2">
        <v>2.5499999999999998</v>
      </c>
      <c r="L99" s="2">
        <v>2.5590999999999999</v>
      </c>
    </row>
    <row r="100" spans="1:12" x14ac:dyDescent="0.25">
      <c r="A100" s="1">
        <v>99</v>
      </c>
      <c r="B100" s="1" t="s">
        <v>109</v>
      </c>
      <c r="C100" s="2">
        <v>3.75</v>
      </c>
      <c r="D100" s="2">
        <v>3</v>
      </c>
      <c r="E100" s="2">
        <v>1.25</v>
      </c>
      <c r="F100" s="2">
        <v>2</v>
      </c>
      <c r="G100" s="2">
        <v>1.8109999999999999</v>
      </c>
      <c r="H100" s="2">
        <v>3.75</v>
      </c>
      <c r="I100" s="2">
        <v>3</v>
      </c>
      <c r="J100" s="2">
        <v>1.25</v>
      </c>
      <c r="K100" s="2">
        <v>2</v>
      </c>
      <c r="L100" s="2">
        <v>1.8109999999999999</v>
      </c>
    </row>
    <row r="101" spans="1:12" x14ac:dyDescent="0.25">
      <c r="A101" s="1">
        <v>100</v>
      </c>
      <c r="B101" s="1" t="s">
        <v>110</v>
      </c>
      <c r="C101" s="2">
        <v>4</v>
      </c>
      <c r="D101" s="2">
        <v>5.1181000000000001</v>
      </c>
      <c r="E101" s="2">
        <v>1.5</v>
      </c>
      <c r="F101" s="2">
        <v>2.5499999999999998</v>
      </c>
      <c r="G101" s="2">
        <v>2.9527000000000001</v>
      </c>
      <c r="H101" s="2">
        <v>4</v>
      </c>
      <c r="I101" s="2">
        <v>5.1181000000000001</v>
      </c>
      <c r="J101" s="2">
        <v>1.5</v>
      </c>
      <c r="K101" s="2">
        <v>2.5499999999999998</v>
      </c>
      <c r="L101" s="2">
        <v>2.9527000000000001</v>
      </c>
    </row>
    <row r="102" spans="1:12" x14ac:dyDescent="0.25">
      <c r="A102" s="1">
        <v>101</v>
      </c>
      <c r="B102" s="1" t="s">
        <v>111</v>
      </c>
      <c r="C102" s="2">
        <v>4.7480000000000002</v>
      </c>
      <c r="D102" s="2">
        <v>4.5</v>
      </c>
      <c r="E102" s="2">
        <v>1.5</v>
      </c>
      <c r="F102" s="2">
        <v>3.2480000000000002</v>
      </c>
      <c r="G102" s="2">
        <v>2.7559</v>
      </c>
      <c r="H102" s="2">
        <v>4.7480000000000002</v>
      </c>
      <c r="I102" s="2">
        <v>4.5</v>
      </c>
      <c r="J102" s="2">
        <v>1.5</v>
      </c>
      <c r="K102" s="2">
        <v>3.2480000000000002</v>
      </c>
      <c r="L102" s="2">
        <v>2.7559</v>
      </c>
    </row>
    <row r="103" spans="1:12" x14ac:dyDescent="0.25">
      <c r="A103" s="1">
        <v>102</v>
      </c>
      <c r="B103" s="1" t="s">
        <v>112</v>
      </c>
      <c r="C103" s="2">
        <v>4.5</v>
      </c>
      <c r="D103" s="2">
        <v>6</v>
      </c>
      <c r="E103" s="2">
        <v>2</v>
      </c>
      <c r="F103" s="2">
        <v>2.5</v>
      </c>
      <c r="G103" s="2">
        <v>2</v>
      </c>
      <c r="H103" s="2">
        <v>4.5</v>
      </c>
      <c r="I103" s="2">
        <v>6</v>
      </c>
      <c r="J103" s="2">
        <v>2</v>
      </c>
      <c r="K103" s="2">
        <v>2.5</v>
      </c>
      <c r="L103" s="2">
        <v>2</v>
      </c>
    </row>
    <row r="104" spans="1:12" x14ac:dyDescent="0.25">
      <c r="A104" s="1">
        <v>103</v>
      </c>
      <c r="B104" s="1" t="s">
        <v>113</v>
      </c>
      <c r="C104" s="2">
        <v>4.97</v>
      </c>
      <c r="D104" s="2">
        <v>6.7</v>
      </c>
      <c r="E104" s="2">
        <v>2</v>
      </c>
      <c r="F104" s="2">
        <v>1.97</v>
      </c>
      <c r="G104" s="2">
        <v>2</v>
      </c>
      <c r="H104" s="2">
        <v>4.97</v>
      </c>
      <c r="I104" s="2">
        <v>6.7</v>
      </c>
      <c r="J104" s="2">
        <v>2</v>
      </c>
      <c r="K104" s="2">
        <v>1.97</v>
      </c>
      <c r="L104" s="2">
        <v>2</v>
      </c>
    </row>
    <row r="105" spans="1:12" x14ac:dyDescent="0.25">
      <c r="A105" s="1">
        <v>104</v>
      </c>
      <c r="B105" s="1" t="s">
        <v>114</v>
      </c>
      <c r="C105" s="2">
        <v>3.5</v>
      </c>
      <c r="D105" s="2">
        <v>3</v>
      </c>
      <c r="E105" s="2">
        <v>1.5</v>
      </c>
      <c r="F105" s="2">
        <v>0.75</v>
      </c>
      <c r="G105" s="2">
        <v>2</v>
      </c>
      <c r="H105" s="2">
        <v>4</v>
      </c>
      <c r="I105" s="2">
        <v>4.5</v>
      </c>
      <c r="J105" s="2">
        <v>1.5</v>
      </c>
      <c r="K105" s="2">
        <v>0.75</v>
      </c>
      <c r="L105" s="2">
        <v>2</v>
      </c>
    </row>
    <row r="106" spans="1:12" x14ac:dyDescent="0.25">
      <c r="A106" s="1">
        <v>105</v>
      </c>
      <c r="B106" s="1" t="s">
        <v>115</v>
      </c>
      <c r="C106" s="2">
        <v>3.5</v>
      </c>
      <c r="D106" s="2">
        <v>3</v>
      </c>
      <c r="E106" s="2">
        <v>1.5</v>
      </c>
      <c r="F106" s="2">
        <v>0.75</v>
      </c>
      <c r="G106" s="2">
        <v>2</v>
      </c>
      <c r="H106" s="2">
        <v>4</v>
      </c>
      <c r="I106" s="2">
        <v>4.5</v>
      </c>
      <c r="J106" s="2">
        <v>1.5</v>
      </c>
      <c r="K106" s="2">
        <v>0.75</v>
      </c>
      <c r="L106" s="2">
        <v>2</v>
      </c>
    </row>
    <row r="107" spans="1:12" x14ac:dyDescent="0.25">
      <c r="A107" s="1">
        <v>106</v>
      </c>
      <c r="B107" s="1" t="s">
        <v>116</v>
      </c>
      <c r="C107" s="2">
        <v>3.5</v>
      </c>
      <c r="D107" s="2">
        <v>3</v>
      </c>
      <c r="E107" s="2">
        <v>1.5</v>
      </c>
      <c r="F107" s="2">
        <v>0.75</v>
      </c>
      <c r="G107" s="2">
        <v>2</v>
      </c>
      <c r="H107" s="2">
        <v>4</v>
      </c>
      <c r="I107" s="2">
        <v>4.5</v>
      </c>
      <c r="J107" s="2">
        <v>1.5</v>
      </c>
      <c r="K107" s="2">
        <v>0.75</v>
      </c>
      <c r="L107" s="2">
        <v>2</v>
      </c>
    </row>
    <row r="108" spans="1:12" x14ac:dyDescent="0.25">
      <c r="A108" s="1">
        <v>107</v>
      </c>
      <c r="B108" s="1" t="s">
        <v>117</v>
      </c>
      <c r="C108" s="2">
        <v>4</v>
      </c>
      <c r="D108" s="2">
        <v>4</v>
      </c>
      <c r="E108" s="2">
        <v>1.5</v>
      </c>
      <c r="F108" s="2">
        <v>2.5625</v>
      </c>
      <c r="G108" s="2">
        <v>2</v>
      </c>
      <c r="H108" s="2">
        <v>4</v>
      </c>
      <c r="I108" s="2">
        <v>6</v>
      </c>
      <c r="J108" s="2">
        <v>1.5</v>
      </c>
      <c r="K108" s="2">
        <v>2.5625</v>
      </c>
      <c r="L108" s="2">
        <v>2</v>
      </c>
    </row>
    <row r="109" spans="1:12" x14ac:dyDescent="0.25">
      <c r="A109" s="1">
        <v>108</v>
      </c>
      <c r="B109" s="1" t="s">
        <v>118</v>
      </c>
      <c r="C109" s="2">
        <v>4.5</v>
      </c>
      <c r="D109" s="2">
        <v>6</v>
      </c>
      <c r="E109" s="2">
        <v>1.25</v>
      </c>
      <c r="F109" s="2">
        <v>2.5</v>
      </c>
      <c r="G109" s="2">
        <v>2</v>
      </c>
      <c r="H109" s="2">
        <v>4.5</v>
      </c>
      <c r="I109" s="2">
        <v>6</v>
      </c>
      <c r="J109" s="2">
        <v>2</v>
      </c>
      <c r="K109" s="2">
        <v>2.5</v>
      </c>
      <c r="L109" s="2">
        <v>2</v>
      </c>
    </row>
    <row r="110" spans="1:12" x14ac:dyDescent="0.25">
      <c r="A110" s="1">
        <v>109</v>
      </c>
      <c r="B110" s="6" t="s">
        <v>119</v>
      </c>
      <c r="C110" s="2">
        <v>3.5</v>
      </c>
      <c r="D110" s="2">
        <v>3</v>
      </c>
      <c r="E110" s="2">
        <v>1.5</v>
      </c>
      <c r="F110" s="2">
        <v>2</v>
      </c>
      <c r="G110" s="2">
        <v>2</v>
      </c>
      <c r="H110" s="2">
        <v>4</v>
      </c>
      <c r="I110" s="2">
        <v>4</v>
      </c>
      <c r="J110" s="2">
        <v>2</v>
      </c>
      <c r="K110" s="2">
        <v>2</v>
      </c>
      <c r="L110" s="2">
        <v>3.25</v>
      </c>
    </row>
    <row r="111" spans="1:12" x14ac:dyDescent="0.25">
      <c r="A111" s="1">
        <v>110</v>
      </c>
      <c r="B111" s="1" t="s">
        <v>120</v>
      </c>
      <c r="C111" s="2">
        <v>3.9369999999999998</v>
      </c>
      <c r="D111" s="2">
        <v>3.9369999999999998</v>
      </c>
      <c r="E111" s="2">
        <v>1.5748</v>
      </c>
      <c r="F111" s="2">
        <v>1.9684999999999999</v>
      </c>
      <c r="G111" s="2">
        <v>3.1496</v>
      </c>
      <c r="H111" s="2">
        <v>3.9369999999999998</v>
      </c>
      <c r="I111" s="2">
        <v>3.9369999999999998</v>
      </c>
      <c r="J111" s="2">
        <v>1.5748</v>
      </c>
      <c r="K111" s="2">
        <v>1.9684999999999999</v>
      </c>
      <c r="L111" s="2">
        <v>2.7559</v>
      </c>
    </row>
    <row r="112" spans="1:12" x14ac:dyDescent="0.25">
      <c r="A112" s="1">
        <v>111</v>
      </c>
      <c r="B112" s="1" t="s">
        <v>121</v>
      </c>
      <c r="C112" s="2">
        <v>4.5</v>
      </c>
      <c r="D112" s="2">
        <v>6</v>
      </c>
      <c r="E112" s="2">
        <v>1.25</v>
      </c>
      <c r="F112" s="2">
        <v>2.5</v>
      </c>
      <c r="G112" s="2">
        <v>2</v>
      </c>
      <c r="H112" s="2">
        <v>4.5</v>
      </c>
      <c r="I112" s="2">
        <v>6</v>
      </c>
      <c r="J112" s="2">
        <v>1.25</v>
      </c>
      <c r="K112" s="2">
        <v>2.5</v>
      </c>
      <c r="L112" s="2">
        <v>2</v>
      </c>
    </row>
    <row r="113" spans="1:12" x14ac:dyDescent="0.25">
      <c r="A113" s="1">
        <v>112</v>
      </c>
      <c r="B113" s="1" t="s">
        <v>122</v>
      </c>
      <c r="C113" s="2">
        <v>2.5</v>
      </c>
      <c r="D113" s="2">
        <v>3</v>
      </c>
      <c r="E113" s="2">
        <v>1.25</v>
      </c>
      <c r="F113" s="2">
        <v>1.38</v>
      </c>
      <c r="G113" s="2">
        <v>2</v>
      </c>
      <c r="H113" s="2">
        <v>2.5</v>
      </c>
      <c r="I113" s="2">
        <v>3</v>
      </c>
      <c r="J113" s="2">
        <v>1.25</v>
      </c>
      <c r="K113" s="2">
        <v>1.38</v>
      </c>
      <c r="L113" s="2">
        <v>2</v>
      </c>
    </row>
    <row r="114" spans="1:12" x14ac:dyDescent="0.25">
      <c r="A114" s="1">
        <v>113</v>
      </c>
      <c r="B114" s="1" t="s">
        <v>123</v>
      </c>
      <c r="C114" s="2">
        <v>4.5</v>
      </c>
      <c r="D114" s="2">
        <v>4.5</v>
      </c>
      <c r="E114" s="2">
        <v>1.25</v>
      </c>
      <c r="F114" s="2">
        <v>3</v>
      </c>
      <c r="G114" s="2">
        <v>2</v>
      </c>
      <c r="H114" s="2">
        <v>4.5</v>
      </c>
      <c r="I114" s="2">
        <v>4.5</v>
      </c>
      <c r="J114" s="2">
        <v>1.25</v>
      </c>
      <c r="K114" s="2">
        <v>3</v>
      </c>
      <c r="L114" s="2">
        <v>2</v>
      </c>
    </row>
    <row r="115" spans="1:12" x14ac:dyDescent="0.25">
      <c r="A115" s="1">
        <v>114</v>
      </c>
      <c r="B115" s="1" t="s">
        <v>124</v>
      </c>
      <c r="C115" s="2">
        <v>3.5</v>
      </c>
      <c r="D115" s="2">
        <v>4</v>
      </c>
      <c r="E115" s="2">
        <v>1.25</v>
      </c>
      <c r="F115" s="2">
        <v>2</v>
      </c>
      <c r="G115" s="2">
        <v>2</v>
      </c>
      <c r="H115" s="2">
        <v>3.5</v>
      </c>
      <c r="I115" s="2">
        <v>4</v>
      </c>
      <c r="J115" s="2">
        <v>1.25</v>
      </c>
      <c r="K115" s="2">
        <v>2</v>
      </c>
      <c r="L115" s="2">
        <v>3.25</v>
      </c>
    </row>
    <row r="116" spans="1:12" x14ac:dyDescent="0.25">
      <c r="A116" s="1">
        <v>115</v>
      </c>
      <c r="B116" s="1" t="s">
        <v>125</v>
      </c>
      <c r="C116" s="2">
        <v>3.5</v>
      </c>
      <c r="D116" s="2">
        <v>4</v>
      </c>
      <c r="E116" s="2">
        <v>1.25</v>
      </c>
      <c r="F116" s="2">
        <v>1.875</v>
      </c>
      <c r="G116" s="2">
        <v>2</v>
      </c>
      <c r="H116" s="2">
        <v>3.5</v>
      </c>
      <c r="I116" s="2">
        <v>4</v>
      </c>
      <c r="J116" s="2">
        <v>1.25</v>
      </c>
      <c r="K116" s="2">
        <v>1.875</v>
      </c>
      <c r="L116" s="2">
        <v>2</v>
      </c>
    </row>
    <row r="117" spans="1:12" x14ac:dyDescent="0.25">
      <c r="A117" s="1">
        <v>116</v>
      </c>
      <c r="B117" s="1" t="s">
        <v>126</v>
      </c>
      <c r="C117" s="2">
        <v>4.25</v>
      </c>
      <c r="D117" s="2">
        <v>3.1496</v>
      </c>
      <c r="E117" s="2">
        <v>1.25</v>
      </c>
      <c r="F117" s="2">
        <v>2.5</v>
      </c>
      <c r="G117" s="2">
        <v>2</v>
      </c>
      <c r="H117" s="2">
        <v>4.25</v>
      </c>
      <c r="I117" s="2">
        <v>3.1496</v>
      </c>
      <c r="J117" s="2">
        <v>1.25</v>
      </c>
      <c r="K117" s="2">
        <v>2.5</v>
      </c>
      <c r="L117" s="2">
        <v>2</v>
      </c>
    </row>
    <row r="118" spans="1:12" x14ac:dyDescent="0.25">
      <c r="A118" s="1">
        <v>117</v>
      </c>
      <c r="B118" s="1" t="s">
        <v>127</v>
      </c>
      <c r="C118" s="2">
        <v>4.25</v>
      </c>
      <c r="D118" s="2">
        <v>3.1496</v>
      </c>
      <c r="E118" s="2">
        <v>1.25</v>
      </c>
      <c r="F118" s="2">
        <v>2.5</v>
      </c>
      <c r="G118" s="2">
        <v>2</v>
      </c>
      <c r="H118" s="2">
        <v>4.25</v>
      </c>
      <c r="I118" s="2">
        <v>3.1496</v>
      </c>
      <c r="J118" s="2">
        <v>1.25</v>
      </c>
      <c r="K118" s="2">
        <v>2.5</v>
      </c>
      <c r="L118" s="2">
        <v>2</v>
      </c>
    </row>
    <row r="119" spans="1:12" x14ac:dyDescent="0.25">
      <c r="A119" s="1">
        <v>118</v>
      </c>
      <c r="B119" s="1" t="s">
        <v>128</v>
      </c>
      <c r="C119" s="2">
        <v>3.9369999999999998</v>
      </c>
      <c r="D119" s="2">
        <v>2.9921000000000002</v>
      </c>
      <c r="E119" s="2">
        <v>1.25</v>
      </c>
      <c r="F119" s="2">
        <v>3.2086999999999999</v>
      </c>
      <c r="G119" s="2">
        <v>2</v>
      </c>
      <c r="H119" s="2">
        <v>3.9369999999999998</v>
      </c>
      <c r="I119" s="2">
        <v>2.9921000000000002</v>
      </c>
      <c r="J119" s="2">
        <v>1.25</v>
      </c>
      <c r="K119" s="2">
        <v>3.2086999999999999</v>
      </c>
      <c r="L119" s="2">
        <v>2.5</v>
      </c>
    </row>
    <row r="120" spans="1:12" x14ac:dyDescent="0.25">
      <c r="A120" s="1">
        <v>119</v>
      </c>
      <c r="B120" s="17" t="s">
        <v>129</v>
      </c>
      <c r="C120" s="2">
        <v>3.9369999999999998</v>
      </c>
      <c r="D120" s="2">
        <v>3.9369999999999998</v>
      </c>
      <c r="E120" s="2">
        <v>1.25</v>
      </c>
      <c r="F120" s="2">
        <v>3.2086999999999999</v>
      </c>
      <c r="G120" s="2">
        <v>2</v>
      </c>
      <c r="H120" s="2">
        <v>3.9369999999999998</v>
      </c>
      <c r="I120" s="2">
        <v>3.9369999999999998</v>
      </c>
      <c r="J120" s="2">
        <v>1.25</v>
      </c>
      <c r="K120" s="2">
        <v>3.2086999999999999</v>
      </c>
      <c r="L120" s="2">
        <v>2.5</v>
      </c>
    </row>
    <row r="121" spans="1:12" x14ac:dyDescent="0.25">
      <c r="A121" s="1">
        <v>120</v>
      </c>
      <c r="B121" s="17" t="s">
        <v>130</v>
      </c>
      <c r="C121" s="2">
        <v>3.9369999999999998</v>
      </c>
      <c r="D121" s="2">
        <v>3.9369999999999998</v>
      </c>
      <c r="E121" s="2">
        <v>1.1220000000000001</v>
      </c>
      <c r="F121" s="2">
        <v>2.5590999999999999</v>
      </c>
      <c r="G121" s="2">
        <v>2</v>
      </c>
      <c r="H121" s="2">
        <v>3.9369999999999998</v>
      </c>
      <c r="I121" s="2">
        <v>6</v>
      </c>
      <c r="J121" s="2">
        <v>1.1220000000000001</v>
      </c>
      <c r="K121" s="2">
        <v>2.5590999999999999</v>
      </c>
      <c r="L121" s="2">
        <v>2</v>
      </c>
    </row>
    <row r="122" spans="1:12" x14ac:dyDescent="0.25">
      <c r="A122" s="1">
        <v>121</v>
      </c>
      <c r="B122" s="1" t="s">
        <v>131</v>
      </c>
      <c r="C122" s="2">
        <v>3.9369999999999998</v>
      </c>
      <c r="D122" s="2">
        <v>3.9369999999999998</v>
      </c>
      <c r="E122" s="2">
        <v>1.5748</v>
      </c>
      <c r="F122" s="2">
        <v>1.9684999999999999</v>
      </c>
      <c r="G122" s="2">
        <v>2</v>
      </c>
      <c r="H122" s="2">
        <v>4.25</v>
      </c>
      <c r="I122" s="2">
        <v>5</v>
      </c>
      <c r="J122" s="2">
        <v>0</v>
      </c>
      <c r="K122" s="2">
        <v>0</v>
      </c>
      <c r="L122" s="2">
        <v>2.9527999999999999</v>
      </c>
    </row>
    <row r="123" spans="1:12" x14ac:dyDescent="0.25">
      <c r="A123" s="1">
        <v>122</v>
      </c>
      <c r="B123" s="1" t="s">
        <v>132</v>
      </c>
      <c r="C123" s="2">
        <v>4.125</v>
      </c>
      <c r="D123" s="2">
        <v>3.5432999999999999</v>
      </c>
      <c r="E123" s="2">
        <v>1.4173</v>
      </c>
      <c r="F123" s="2">
        <v>1.3779999999999999</v>
      </c>
      <c r="G123" s="2">
        <v>2.1654</v>
      </c>
      <c r="H123" s="2">
        <v>3.5432999999999999</v>
      </c>
      <c r="I123" s="2">
        <v>5.5118</v>
      </c>
      <c r="J123" s="2">
        <v>1.4173</v>
      </c>
      <c r="K123" s="2">
        <v>1.3779999999999999</v>
      </c>
      <c r="L123" s="2">
        <v>2.1654</v>
      </c>
    </row>
    <row r="124" spans="1:12" x14ac:dyDescent="0.25">
      <c r="A124" s="1">
        <v>123</v>
      </c>
      <c r="B124" s="1" t="s">
        <v>133</v>
      </c>
      <c r="C124" s="2">
        <v>4.125</v>
      </c>
      <c r="D124" s="2">
        <v>3.5432999999999999</v>
      </c>
      <c r="E124" s="2">
        <v>1.4173</v>
      </c>
      <c r="F124" s="2">
        <v>1.3779999999999999</v>
      </c>
      <c r="G124" s="2">
        <v>2.1654</v>
      </c>
      <c r="H124" s="2">
        <v>3.5432999999999999</v>
      </c>
      <c r="I124" s="2">
        <v>5.5118</v>
      </c>
      <c r="J124" s="2">
        <v>1.4173</v>
      </c>
      <c r="K124" s="2">
        <v>1.3779999999999999</v>
      </c>
      <c r="L124" s="2">
        <v>2.5590000000000002</v>
      </c>
    </row>
    <row r="125" spans="1:12" x14ac:dyDescent="0.25">
      <c r="A125" s="1">
        <v>124</v>
      </c>
      <c r="B125" s="1" t="s">
        <v>134</v>
      </c>
      <c r="C125" s="2">
        <v>5</v>
      </c>
      <c r="D125" s="2">
        <v>5</v>
      </c>
      <c r="E125" s="2">
        <v>1.25</v>
      </c>
      <c r="F125" s="2">
        <v>2.5590999999999999</v>
      </c>
      <c r="G125" s="2">
        <v>2</v>
      </c>
      <c r="H125" s="2">
        <v>5</v>
      </c>
      <c r="I125" s="2">
        <v>5</v>
      </c>
      <c r="J125" s="2">
        <v>1.25</v>
      </c>
      <c r="K125" s="2">
        <v>2.5590999999999999</v>
      </c>
      <c r="L125" s="2">
        <v>2</v>
      </c>
    </row>
    <row r="126" spans="1:12" x14ac:dyDescent="0.25">
      <c r="A126" s="1">
        <v>125</v>
      </c>
      <c r="B126" s="1" t="s">
        <v>146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</row>
    <row r="127" spans="1:12" x14ac:dyDescent="0.25">
      <c r="A127" s="1">
        <v>126</v>
      </c>
      <c r="B127" s="1" t="s">
        <v>146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</row>
    <row r="128" spans="1:12" x14ac:dyDescent="0.25">
      <c r="A128" s="1">
        <v>127</v>
      </c>
      <c r="B128" s="1" t="s">
        <v>135</v>
      </c>
      <c r="C128" s="2">
        <v>4</v>
      </c>
      <c r="D128" s="2">
        <v>3</v>
      </c>
      <c r="E128" s="2">
        <v>1.25</v>
      </c>
      <c r="F128" s="2">
        <v>2.4375</v>
      </c>
      <c r="G128" s="2">
        <v>1.5</v>
      </c>
      <c r="H128" s="2">
        <v>4</v>
      </c>
      <c r="I128" s="2">
        <v>3</v>
      </c>
      <c r="J128" s="2">
        <v>1.25</v>
      </c>
      <c r="K128" s="2">
        <v>2.4375</v>
      </c>
      <c r="L128" s="2">
        <v>1.5</v>
      </c>
    </row>
    <row r="129" spans="1:12" x14ac:dyDescent="0.25">
      <c r="A129" s="1">
        <v>128</v>
      </c>
      <c r="B129" s="6" t="s">
        <v>136</v>
      </c>
      <c r="C129" s="2">
        <v>4.5</v>
      </c>
      <c r="D129" s="2">
        <v>4</v>
      </c>
      <c r="E129" s="2">
        <v>1.25</v>
      </c>
      <c r="F129" s="2">
        <v>2.375</v>
      </c>
      <c r="G129" s="2">
        <v>2.5</v>
      </c>
      <c r="H129" s="2">
        <v>4.5</v>
      </c>
      <c r="I129" s="2">
        <v>4</v>
      </c>
      <c r="J129" s="2">
        <v>1.25</v>
      </c>
      <c r="K129" s="2">
        <v>2.375</v>
      </c>
      <c r="L129" s="2">
        <v>2.5</v>
      </c>
    </row>
    <row r="130" spans="1:12" x14ac:dyDescent="0.25">
      <c r="A130" s="1">
        <v>129</v>
      </c>
      <c r="B130" s="12" t="s">
        <v>137</v>
      </c>
      <c r="C130" s="2">
        <v>4.5</v>
      </c>
      <c r="D130" s="2">
        <v>3</v>
      </c>
      <c r="E130" s="2">
        <v>1.25</v>
      </c>
      <c r="F130" s="2">
        <v>3</v>
      </c>
      <c r="G130" s="2">
        <v>2.5</v>
      </c>
      <c r="H130" s="2">
        <v>4.5</v>
      </c>
      <c r="I130" s="2">
        <v>3</v>
      </c>
      <c r="J130" s="2">
        <v>1.25</v>
      </c>
      <c r="K130" s="2">
        <v>3</v>
      </c>
      <c r="L130" s="2">
        <v>2.5</v>
      </c>
    </row>
    <row r="131" spans="1:12" x14ac:dyDescent="0.25">
      <c r="A131" s="1">
        <v>130</v>
      </c>
      <c r="B131" s="1" t="s">
        <v>138</v>
      </c>
      <c r="C131" s="2">
        <v>3.5432999999999999</v>
      </c>
      <c r="D131" s="2">
        <v>3.9369999999999998</v>
      </c>
      <c r="E131" s="2">
        <v>1.5748</v>
      </c>
      <c r="F131" s="2">
        <v>1.5748</v>
      </c>
      <c r="G131" s="2">
        <v>2.1652999999999998</v>
      </c>
      <c r="H131" s="2">
        <v>4.5274999999999999</v>
      </c>
      <c r="I131" s="2">
        <v>4.7244000000000002</v>
      </c>
      <c r="J131" s="2">
        <v>1.5748</v>
      </c>
      <c r="K131" s="2">
        <v>1.9684999999999999</v>
      </c>
      <c r="L131" s="2">
        <v>2.4409000000000001</v>
      </c>
    </row>
    <row r="132" spans="1:12" x14ac:dyDescent="0.25">
      <c r="A132" s="1">
        <v>131</v>
      </c>
      <c r="B132" s="1" t="s">
        <v>139</v>
      </c>
      <c r="C132" s="2">
        <v>3.5432999999999999</v>
      </c>
      <c r="D132" s="2">
        <v>3.9369999999999998</v>
      </c>
      <c r="E132" s="2">
        <v>1.5748</v>
      </c>
      <c r="F132" s="2">
        <v>1.5748</v>
      </c>
      <c r="G132" s="2">
        <v>2.0472000000000001</v>
      </c>
      <c r="H132" s="2">
        <v>4.5274999999999999</v>
      </c>
      <c r="I132" s="2">
        <v>4.7244000000000002</v>
      </c>
      <c r="J132" s="2">
        <v>1.5748</v>
      </c>
      <c r="K132" s="2">
        <v>1.9684999999999999</v>
      </c>
      <c r="L132" s="2">
        <v>2.0472000000000001</v>
      </c>
    </row>
    <row r="133" spans="1:12" x14ac:dyDescent="0.25">
      <c r="A133" s="1">
        <v>132</v>
      </c>
      <c r="B133" s="1" t="s">
        <v>140</v>
      </c>
      <c r="C133" s="2">
        <v>3.5432999999999999</v>
      </c>
      <c r="D133" s="2">
        <v>3.9369999999999998</v>
      </c>
      <c r="E133" s="2">
        <v>1.5748</v>
      </c>
      <c r="F133" s="2">
        <v>1.5748</v>
      </c>
      <c r="G133" s="2">
        <v>2.1652999999999998</v>
      </c>
      <c r="H133" s="2">
        <v>4.5274999999999999</v>
      </c>
      <c r="I133" s="2">
        <v>4.7244000000000002</v>
      </c>
      <c r="J133" s="2">
        <v>1.5748</v>
      </c>
      <c r="K133" s="2">
        <v>1.9684999999999999</v>
      </c>
      <c r="L133" s="2">
        <v>2.4409000000000001</v>
      </c>
    </row>
    <row r="134" spans="1:12" x14ac:dyDescent="0.25">
      <c r="A134" s="1">
        <v>133</v>
      </c>
      <c r="B134" s="1" t="s">
        <v>141</v>
      </c>
      <c r="C134" s="2">
        <v>3.5432999999999999</v>
      </c>
      <c r="D134" s="2">
        <v>3.9369999999999998</v>
      </c>
      <c r="E134" s="2">
        <v>1.5748</v>
      </c>
      <c r="F134" s="2">
        <v>1.5748</v>
      </c>
      <c r="G134" s="2">
        <v>2.1652999999999998</v>
      </c>
      <c r="H134" s="2">
        <v>4.5274999999999999</v>
      </c>
      <c r="I134" s="2">
        <v>4.7244000000000002</v>
      </c>
      <c r="J134" s="2">
        <v>1.5748</v>
      </c>
      <c r="K134" s="2">
        <v>1.9684999999999999</v>
      </c>
      <c r="L134" s="2">
        <v>2.4015</v>
      </c>
    </row>
    <row r="135" spans="1:12" x14ac:dyDescent="0.25">
      <c r="A135" s="1">
        <v>134</v>
      </c>
      <c r="B135" s="9" t="s">
        <v>145</v>
      </c>
      <c r="C135" s="5">
        <v>4.9212598425196852</v>
      </c>
      <c r="D135" s="5">
        <v>4</v>
      </c>
      <c r="E135" s="5">
        <v>1.5748031496062993</v>
      </c>
      <c r="F135" s="5">
        <v>2.3622000000000001</v>
      </c>
      <c r="G135" s="5">
        <v>2.3622047244094491</v>
      </c>
      <c r="H135" s="5">
        <v>4.9212598425196852</v>
      </c>
      <c r="I135" s="5">
        <v>4</v>
      </c>
      <c r="J135" s="5">
        <v>1.5748031496062993</v>
      </c>
      <c r="K135" s="5">
        <v>2.3622000000000001</v>
      </c>
      <c r="L135" s="20">
        <v>2.3622047244094491</v>
      </c>
    </row>
    <row r="136" spans="1:12" x14ac:dyDescent="0.25">
      <c r="A136" s="1">
        <v>135</v>
      </c>
      <c r="B136" s="1" t="s">
        <v>146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</row>
    <row r="137" spans="1:12" x14ac:dyDescent="0.25">
      <c r="A137" s="1">
        <v>136</v>
      </c>
      <c r="B137" s="18" t="s">
        <v>142</v>
      </c>
      <c r="C137" s="2">
        <v>3.5</v>
      </c>
      <c r="D137" s="2">
        <v>4</v>
      </c>
      <c r="E137" s="2">
        <v>1.25</v>
      </c>
      <c r="F137" s="2">
        <v>2</v>
      </c>
      <c r="G137" s="2">
        <v>2</v>
      </c>
      <c r="H137" s="2">
        <v>5</v>
      </c>
      <c r="I137" s="2">
        <v>6</v>
      </c>
      <c r="J137" s="2">
        <v>2</v>
      </c>
      <c r="K137" s="2">
        <v>2.5</v>
      </c>
      <c r="L137" s="2">
        <v>2</v>
      </c>
    </row>
    <row r="138" spans="1:12" x14ac:dyDescent="0.25">
      <c r="A138" s="1">
        <v>137</v>
      </c>
      <c r="B138" s="14" t="s">
        <v>147</v>
      </c>
      <c r="C138" s="2">
        <v>3.1496062992125902</v>
      </c>
      <c r="D138" s="2">
        <v>3.1496062992125902</v>
      </c>
      <c r="E138" s="2">
        <v>1.57480314960629</v>
      </c>
      <c r="F138" s="2">
        <v>1.57480314960629</v>
      </c>
      <c r="G138" s="2">
        <v>1.9685039370078701</v>
      </c>
      <c r="H138" s="2">
        <v>3.1496062992125902</v>
      </c>
      <c r="I138" s="2">
        <v>3.1496062992125902</v>
      </c>
      <c r="J138" s="2">
        <v>1.57480314960629</v>
      </c>
      <c r="K138" s="2">
        <v>1.57480314960629</v>
      </c>
      <c r="L138" s="2">
        <v>1.9685039370078701</v>
      </c>
    </row>
    <row r="139" spans="1:12" x14ac:dyDescent="0.25">
      <c r="A139" s="1">
        <v>138</v>
      </c>
      <c r="B139" s="6" t="s">
        <v>148</v>
      </c>
      <c r="C139" s="2">
        <v>3</v>
      </c>
      <c r="D139" s="2">
        <v>3</v>
      </c>
      <c r="E139" s="2">
        <v>1.25</v>
      </c>
      <c r="F139" s="2">
        <v>1.5</v>
      </c>
      <c r="G139" s="2">
        <v>2</v>
      </c>
      <c r="H139" s="2">
        <v>3</v>
      </c>
      <c r="I139" s="2">
        <v>3</v>
      </c>
      <c r="J139" s="2">
        <v>1.25</v>
      </c>
      <c r="K139" s="2">
        <v>1.5</v>
      </c>
      <c r="L139" s="2">
        <v>2</v>
      </c>
    </row>
    <row r="140" spans="1:12" x14ac:dyDescent="0.25">
      <c r="A140" s="1">
        <v>139</v>
      </c>
      <c r="B140" s="6" t="s">
        <v>149</v>
      </c>
      <c r="C140" s="2">
        <v>3</v>
      </c>
      <c r="D140" s="2">
        <v>3</v>
      </c>
      <c r="E140" s="2">
        <v>1.25</v>
      </c>
      <c r="F140" s="2">
        <v>1.5</v>
      </c>
      <c r="G140" s="2">
        <v>2</v>
      </c>
      <c r="H140" s="2">
        <v>3</v>
      </c>
      <c r="I140" s="2">
        <v>3</v>
      </c>
      <c r="J140" s="2">
        <v>1.25</v>
      </c>
      <c r="K140" s="2">
        <v>1.5</v>
      </c>
      <c r="L140" s="2">
        <v>2</v>
      </c>
    </row>
    <row r="141" spans="1:12" x14ac:dyDescent="0.25">
      <c r="A141" s="1">
        <v>140</v>
      </c>
      <c r="B141" s="6" t="s">
        <v>150</v>
      </c>
      <c r="C141" s="2">
        <v>2.5</v>
      </c>
      <c r="D141" s="2">
        <v>2.5</v>
      </c>
      <c r="E141" s="2">
        <v>1</v>
      </c>
      <c r="F141" s="2">
        <v>1.25</v>
      </c>
      <c r="G141" s="2">
        <v>2</v>
      </c>
      <c r="H141" s="2">
        <v>2.5</v>
      </c>
      <c r="I141" s="2">
        <v>2.5</v>
      </c>
      <c r="J141" s="2">
        <v>1</v>
      </c>
      <c r="K141" s="2">
        <v>1.25</v>
      </c>
      <c r="L141" s="2">
        <v>2</v>
      </c>
    </row>
    <row r="142" spans="1:12" x14ac:dyDescent="0.25">
      <c r="A142" s="1">
        <v>141</v>
      </c>
      <c r="B142" s="6" t="s">
        <v>151</v>
      </c>
      <c r="C142" s="2">
        <v>2.5</v>
      </c>
      <c r="D142" s="2">
        <v>2.5</v>
      </c>
      <c r="E142" s="2">
        <v>1</v>
      </c>
      <c r="F142" s="2">
        <v>1.25</v>
      </c>
      <c r="G142" s="2">
        <v>2</v>
      </c>
      <c r="H142" s="2">
        <v>2.5</v>
      </c>
      <c r="I142" s="2">
        <v>2.5</v>
      </c>
      <c r="J142" s="2">
        <v>1</v>
      </c>
      <c r="K142" s="2">
        <v>1.25</v>
      </c>
      <c r="L142" s="2">
        <v>2</v>
      </c>
    </row>
    <row r="143" spans="1:12" x14ac:dyDescent="0.25">
      <c r="A143" s="1">
        <v>142</v>
      </c>
      <c r="B143" s="6" t="s">
        <v>152</v>
      </c>
      <c r="C143" s="2">
        <v>2.5</v>
      </c>
      <c r="D143" s="2">
        <v>2.5</v>
      </c>
      <c r="E143" s="2">
        <v>1</v>
      </c>
      <c r="F143" s="2">
        <v>1.25</v>
      </c>
      <c r="G143" s="2">
        <v>2</v>
      </c>
      <c r="H143" s="2">
        <v>2.5</v>
      </c>
      <c r="I143" s="2">
        <v>2.5</v>
      </c>
      <c r="J143" s="2">
        <v>1</v>
      </c>
      <c r="K143" s="2">
        <v>1.25</v>
      </c>
      <c r="L143" s="2">
        <v>2</v>
      </c>
    </row>
    <row r="144" spans="1:12" x14ac:dyDescent="0.25">
      <c r="A144" s="1">
        <v>143</v>
      </c>
      <c r="B144" s="6" t="s">
        <v>153</v>
      </c>
      <c r="C144" s="2">
        <v>2.5</v>
      </c>
      <c r="D144" s="2">
        <v>2.5</v>
      </c>
      <c r="E144" s="2">
        <v>1</v>
      </c>
      <c r="F144" s="2">
        <v>1.25</v>
      </c>
      <c r="G144" s="2">
        <v>2</v>
      </c>
      <c r="H144" s="2">
        <v>2.5</v>
      </c>
      <c r="I144" s="2">
        <v>2.5</v>
      </c>
      <c r="J144" s="2">
        <v>1</v>
      </c>
      <c r="K144" s="2">
        <v>1.25</v>
      </c>
      <c r="L144" s="2">
        <v>2</v>
      </c>
    </row>
    <row r="145" spans="1:12" x14ac:dyDescent="0.25">
      <c r="A145" s="1">
        <v>144</v>
      </c>
      <c r="B145" s="1" t="s">
        <v>154</v>
      </c>
      <c r="C145" s="2">
        <v>4</v>
      </c>
      <c r="D145" s="2">
        <v>4</v>
      </c>
      <c r="E145" s="2">
        <v>1.1879999999999999</v>
      </c>
      <c r="F145" s="2">
        <v>2.5625</v>
      </c>
      <c r="G145" s="2">
        <v>2</v>
      </c>
      <c r="H145" s="2">
        <v>4</v>
      </c>
      <c r="I145" s="2">
        <v>6</v>
      </c>
      <c r="J145" s="2">
        <v>1.1879999999999999</v>
      </c>
      <c r="K145" s="2">
        <v>2.5625</v>
      </c>
      <c r="L145" s="2">
        <v>2</v>
      </c>
    </row>
    <row r="146" spans="1:12" x14ac:dyDescent="0.25">
      <c r="A146" s="1">
        <v>145</v>
      </c>
      <c r="B146" s="8" t="s">
        <v>158</v>
      </c>
      <c r="C146" s="2">
        <v>3</v>
      </c>
      <c r="D146" s="2">
        <v>3</v>
      </c>
      <c r="E146" s="2">
        <v>1.25</v>
      </c>
      <c r="F146" s="2">
        <v>1.875</v>
      </c>
      <c r="G146" s="2">
        <v>2.5</v>
      </c>
      <c r="H146" s="2">
        <v>4.5</v>
      </c>
      <c r="I146" s="2">
        <v>6</v>
      </c>
      <c r="J146" s="2">
        <v>2</v>
      </c>
      <c r="K146" s="2">
        <v>2.5</v>
      </c>
      <c r="L146" s="2">
        <v>3</v>
      </c>
    </row>
    <row r="147" spans="1:12" x14ac:dyDescent="0.25">
      <c r="A147" s="1">
        <v>146</v>
      </c>
      <c r="B147" s="6" t="s">
        <v>155</v>
      </c>
      <c r="C147" s="2">
        <v>4.5</v>
      </c>
      <c r="D147" s="2">
        <v>6</v>
      </c>
      <c r="E147" s="2">
        <v>2</v>
      </c>
      <c r="F147" s="2">
        <v>2.5</v>
      </c>
      <c r="G147" s="2">
        <v>2</v>
      </c>
      <c r="H147" s="2">
        <v>3.25</v>
      </c>
      <c r="I147" s="2">
        <v>4.5</v>
      </c>
      <c r="J147" s="2">
        <v>2.25</v>
      </c>
      <c r="K147" s="2">
        <v>1.125</v>
      </c>
      <c r="L147" s="2">
        <v>2</v>
      </c>
    </row>
    <row r="148" spans="1:12" x14ac:dyDescent="0.25">
      <c r="A148" s="1">
        <v>147</v>
      </c>
      <c r="B148" s="6" t="s">
        <v>156</v>
      </c>
      <c r="C148" s="2">
        <v>4.5</v>
      </c>
      <c r="D148" s="2">
        <v>6</v>
      </c>
      <c r="E148" s="2">
        <v>2</v>
      </c>
      <c r="F148" s="2">
        <v>2.5</v>
      </c>
      <c r="G148" s="2">
        <v>2</v>
      </c>
      <c r="H148" s="2">
        <v>4.5</v>
      </c>
      <c r="I148" s="2">
        <v>6</v>
      </c>
      <c r="J148" s="2">
        <v>2</v>
      </c>
      <c r="K148" s="2">
        <v>2.5</v>
      </c>
      <c r="L148" s="2">
        <v>3</v>
      </c>
    </row>
    <row r="149" spans="1:12" x14ac:dyDescent="0.25">
      <c r="A149" s="1">
        <v>148</v>
      </c>
      <c r="B149" s="6" t="s">
        <v>157</v>
      </c>
      <c r="C149" s="2">
        <v>3.9369999999999998</v>
      </c>
      <c r="D149" s="2">
        <v>2.7559</v>
      </c>
      <c r="E149" s="2">
        <v>1.25</v>
      </c>
      <c r="F149" s="2">
        <v>2</v>
      </c>
      <c r="G149" s="2">
        <v>2</v>
      </c>
      <c r="H149" s="2">
        <v>3.9369999999999998</v>
      </c>
      <c r="I149" s="2">
        <v>2.7559</v>
      </c>
      <c r="J149" s="2">
        <v>1.25</v>
      </c>
      <c r="K149" s="2">
        <v>2</v>
      </c>
      <c r="L149" s="2">
        <v>2</v>
      </c>
    </row>
    <row r="150" spans="1:12" x14ac:dyDescent="0.25">
      <c r="A150" s="1">
        <v>149</v>
      </c>
      <c r="B150" s="6" t="s">
        <v>159</v>
      </c>
      <c r="C150" s="2">
        <v>3.5</v>
      </c>
      <c r="D150" s="2">
        <v>4</v>
      </c>
      <c r="E150" s="2">
        <v>1.25</v>
      </c>
      <c r="F150" s="2">
        <v>2</v>
      </c>
      <c r="G150" s="2">
        <v>2</v>
      </c>
      <c r="H150" s="2">
        <v>3.25</v>
      </c>
      <c r="I150" s="2">
        <v>4.5</v>
      </c>
      <c r="J150" s="2">
        <v>2</v>
      </c>
      <c r="K150" s="2">
        <v>2</v>
      </c>
      <c r="L150" s="2">
        <v>2</v>
      </c>
    </row>
    <row r="151" spans="1:12" x14ac:dyDescent="0.25">
      <c r="A151" s="1">
        <v>150</v>
      </c>
      <c r="B151" s="1" t="s">
        <v>171</v>
      </c>
      <c r="C151" s="2">
        <v>4</v>
      </c>
      <c r="D151" s="2">
        <v>3</v>
      </c>
      <c r="E151" s="2">
        <v>1.5</v>
      </c>
      <c r="F151" s="2">
        <v>2</v>
      </c>
      <c r="G151" s="2">
        <v>2</v>
      </c>
      <c r="H151" s="2">
        <v>4</v>
      </c>
      <c r="I151" s="2">
        <v>3</v>
      </c>
      <c r="J151" s="2">
        <v>1.5</v>
      </c>
      <c r="K151" s="2">
        <v>2</v>
      </c>
      <c r="L151" s="2">
        <v>3.25</v>
      </c>
    </row>
    <row r="152" spans="1:12" x14ac:dyDescent="0.25">
      <c r="A152" s="1">
        <v>151</v>
      </c>
      <c r="B152" s="13" t="s">
        <v>160</v>
      </c>
      <c r="C152" s="2">
        <v>5.1181099999999997</v>
      </c>
      <c r="D152" s="2">
        <v>5.1181099999999997</v>
      </c>
      <c r="E152" s="2">
        <v>1.5748</v>
      </c>
      <c r="F152" s="2">
        <v>1.9684999999999999</v>
      </c>
      <c r="G152" s="2">
        <v>2.5</v>
      </c>
      <c r="H152" s="2">
        <v>5.1181099999999997</v>
      </c>
      <c r="I152" s="2">
        <v>5.1181099999999997</v>
      </c>
      <c r="J152" s="2">
        <v>1.5</v>
      </c>
      <c r="K152" s="2">
        <v>1.75</v>
      </c>
      <c r="L152" s="2">
        <v>2.5</v>
      </c>
    </row>
    <row r="153" spans="1:12" x14ac:dyDescent="0.25">
      <c r="A153" s="1">
        <v>152</v>
      </c>
      <c r="B153" s="1" t="s">
        <v>161</v>
      </c>
      <c r="C153" s="2">
        <v>4</v>
      </c>
      <c r="D153" s="2">
        <v>4</v>
      </c>
      <c r="E153" s="2">
        <v>1.125</v>
      </c>
      <c r="F153" s="2">
        <v>2.5625</v>
      </c>
      <c r="G153" s="2">
        <v>2</v>
      </c>
      <c r="H153" s="2">
        <v>4</v>
      </c>
      <c r="I153" s="2">
        <v>4</v>
      </c>
      <c r="J153" s="2">
        <v>1.125</v>
      </c>
      <c r="K153" s="2">
        <v>2.5625</v>
      </c>
      <c r="L153" s="2">
        <v>2</v>
      </c>
    </row>
    <row r="154" spans="1:12" x14ac:dyDescent="0.25">
      <c r="A154" s="1">
        <v>153</v>
      </c>
      <c r="B154" s="1" t="s">
        <v>172</v>
      </c>
      <c r="C154" s="2">
        <v>4</v>
      </c>
      <c r="D154" s="2">
        <v>3</v>
      </c>
      <c r="E154" s="2">
        <v>1.5</v>
      </c>
      <c r="F154" s="2">
        <v>2</v>
      </c>
      <c r="G154" s="2">
        <v>2</v>
      </c>
      <c r="H154" s="2">
        <v>4</v>
      </c>
      <c r="I154" s="2">
        <v>3</v>
      </c>
      <c r="J154" s="2">
        <v>1.5</v>
      </c>
      <c r="K154" s="2">
        <v>2</v>
      </c>
      <c r="L154" s="2">
        <v>3.375</v>
      </c>
    </row>
    <row r="155" spans="1:12" x14ac:dyDescent="0.25">
      <c r="A155" s="1">
        <v>154</v>
      </c>
      <c r="B155" s="1" t="s">
        <v>162</v>
      </c>
      <c r="C155" s="2">
        <v>5</v>
      </c>
      <c r="D155" s="2">
        <v>6</v>
      </c>
      <c r="E155" s="2">
        <v>2</v>
      </c>
      <c r="F155" s="2">
        <v>2.5</v>
      </c>
      <c r="G155" s="2">
        <v>2</v>
      </c>
      <c r="H155" s="2">
        <v>5</v>
      </c>
      <c r="I155" s="2">
        <v>6</v>
      </c>
      <c r="J155" s="2">
        <v>2</v>
      </c>
      <c r="K155" s="2">
        <v>2.5</v>
      </c>
      <c r="L155" s="2">
        <v>2</v>
      </c>
    </row>
    <row r="156" spans="1:12" x14ac:dyDescent="0.25">
      <c r="A156" s="1">
        <v>155</v>
      </c>
      <c r="B156" s="6" t="s">
        <v>163</v>
      </c>
      <c r="C156" s="2">
        <v>2.5</v>
      </c>
      <c r="D156" s="2">
        <v>3</v>
      </c>
      <c r="E156" s="2">
        <v>1</v>
      </c>
      <c r="F156" s="2">
        <v>2</v>
      </c>
      <c r="G156" s="2">
        <v>2</v>
      </c>
      <c r="H156" s="2">
        <v>2.5</v>
      </c>
      <c r="I156" s="2">
        <v>3</v>
      </c>
      <c r="J156" s="2">
        <v>1</v>
      </c>
      <c r="K156" s="2">
        <v>2</v>
      </c>
      <c r="L156" s="2">
        <v>2</v>
      </c>
    </row>
    <row r="157" spans="1:12" x14ac:dyDescent="0.25">
      <c r="A157" s="1">
        <v>156</v>
      </c>
      <c r="B157" s="1" t="s">
        <v>164</v>
      </c>
      <c r="C157" s="2">
        <v>3.5</v>
      </c>
      <c r="D157" s="2">
        <v>3</v>
      </c>
      <c r="E157" s="2">
        <v>1.25</v>
      </c>
      <c r="F157" s="2">
        <v>1.75</v>
      </c>
      <c r="G157" s="2">
        <v>2</v>
      </c>
      <c r="H157" s="2">
        <v>5</v>
      </c>
      <c r="I157" s="2">
        <v>7</v>
      </c>
      <c r="J157" s="2">
        <v>2</v>
      </c>
      <c r="K157" s="2">
        <v>1.75</v>
      </c>
      <c r="L157" s="2">
        <v>2</v>
      </c>
    </row>
    <row r="158" spans="1:12" x14ac:dyDescent="0.25">
      <c r="A158" s="1">
        <v>157</v>
      </c>
      <c r="B158" s="17" t="s">
        <v>165</v>
      </c>
      <c r="C158" s="2">
        <v>4</v>
      </c>
      <c r="D158" s="2">
        <v>3</v>
      </c>
      <c r="E158" s="2">
        <v>1.25</v>
      </c>
      <c r="F158" s="2">
        <v>1.875</v>
      </c>
      <c r="G158" s="2">
        <v>2</v>
      </c>
      <c r="H158" s="2">
        <v>4.5</v>
      </c>
      <c r="I158" s="2">
        <v>3</v>
      </c>
      <c r="J158" s="2">
        <v>1.25</v>
      </c>
      <c r="K158" s="2">
        <v>1.875</v>
      </c>
      <c r="L158" s="2">
        <v>2</v>
      </c>
    </row>
    <row r="159" spans="1:12" x14ac:dyDescent="0.25">
      <c r="A159" s="1">
        <v>158</v>
      </c>
      <c r="B159" s="6" t="s">
        <v>166</v>
      </c>
      <c r="C159" s="2">
        <v>4.5</v>
      </c>
      <c r="D159" s="2">
        <v>6</v>
      </c>
      <c r="E159" s="2">
        <v>2</v>
      </c>
      <c r="F159" s="2">
        <v>2</v>
      </c>
      <c r="G159" s="2">
        <v>3</v>
      </c>
      <c r="H159" s="2">
        <v>4</v>
      </c>
      <c r="I159" s="2">
        <v>6</v>
      </c>
      <c r="J159" s="2">
        <v>2</v>
      </c>
      <c r="K159" s="2">
        <v>2</v>
      </c>
      <c r="L159" s="2">
        <v>2.5</v>
      </c>
    </row>
    <row r="160" spans="1:12" x14ac:dyDescent="0.25">
      <c r="A160" s="1">
        <v>159</v>
      </c>
      <c r="B160" s="1" t="s">
        <v>167</v>
      </c>
      <c r="C160" s="2">
        <v>3</v>
      </c>
      <c r="D160" s="2">
        <v>3</v>
      </c>
      <c r="E160" s="2">
        <v>1.125</v>
      </c>
      <c r="F160" s="2">
        <v>2</v>
      </c>
      <c r="G160" s="2">
        <v>2</v>
      </c>
      <c r="H160" s="2">
        <v>3</v>
      </c>
      <c r="I160" s="2">
        <v>3</v>
      </c>
      <c r="J160" s="2">
        <v>1.25</v>
      </c>
      <c r="K160" s="2">
        <v>2</v>
      </c>
      <c r="L160" s="2">
        <v>2</v>
      </c>
    </row>
    <row r="161" spans="1:12" x14ac:dyDescent="0.25">
      <c r="A161" s="1">
        <v>160</v>
      </c>
      <c r="B161" s="6" t="s">
        <v>168</v>
      </c>
      <c r="C161" s="2">
        <v>4.5</v>
      </c>
      <c r="D161" s="2">
        <v>3</v>
      </c>
      <c r="E161" s="2">
        <v>1.25</v>
      </c>
      <c r="F161" s="2">
        <v>3</v>
      </c>
      <c r="G161" s="2">
        <v>2</v>
      </c>
      <c r="H161" s="2">
        <v>4.5</v>
      </c>
      <c r="I161" s="2">
        <v>3</v>
      </c>
      <c r="J161" s="2">
        <v>1.25</v>
      </c>
      <c r="K161" s="2">
        <v>3</v>
      </c>
      <c r="L161" s="2">
        <v>2</v>
      </c>
    </row>
    <row r="162" spans="1:12" x14ac:dyDescent="0.25">
      <c r="A162" s="1">
        <v>161</v>
      </c>
      <c r="B162" s="6" t="s">
        <v>186</v>
      </c>
      <c r="C162" s="2">
        <v>3</v>
      </c>
      <c r="D162" s="2">
        <v>3</v>
      </c>
      <c r="E162" s="2">
        <v>1.4173</v>
      </c>
      <c r="F162" s="2">
        <v>1.5748</v>
      </c>
      <c r="G162" s="2">
        <v>1.3779999999999999</v>
      </c>
      <c r="H162" s="2">
        <v>3</v>
      </c>
      <c r="I162" s="2">
        <v>4</v>
      </c>
      <c r="J162" s="2">
        <v>1.4173</v>
      </c>
      <c r="K162" s="2">
        <v>1.5748</v>
      </c>
      <c r="L162" s="2">
        <v>1.3779999999999999</v>
      </c>
    </row>
    <row r="163" spans="1:12" x14ac:dyDescent="0.25">
      <c r="A163" s="1">
        <v>162</v>
      </c>
      <c r="B163" s="6" t="s">
        <v>170</v>
      </c>
      <c r="C163" s="2">
        <v>3.3464</v>
      </c>
      <c r="D163" s="2">
        <v>3.9369999999999998</v>
      </c>
      <c r="E163" s="2">
        <v>1.4173</v>
      </c>
      <c r="F163" s="2">
        <v>1.3778999999999999</v>
      </c>
      <c r="G163" s="2">
        <v>2</v>
      </c>
      <c r="H163" s="2">
        <v>3.3464</v>
      </c>
      <c r="I163" s="2">
        <v>3.9369999999999998</v>
      </c>
      <c r="J163" s="2">
        <v>1.4173</v>
      </c>
      <c r="K163" s="2">
        <v>1.3778999999999999</v>
      </c>
      <c r="L163" s="2">
        <v>2</v>
      </c>
    </row>
    <row r="164" spans="1:12" x14ac:dyDescent="0.25">
      <c r="A164" s="1">
        <v>163</v>
      </c>
      <c r="B164" s="6" t="s">
        <v>173</v>
      </c>
      <c r="C164" s="2">
        <v>3.9369999999999998</v>
      </c>
      <c r="D164" s="2">
        <v>3.9369999999999998</v>
      </c>
      <c r="E164" s="2">
        <v>1.1220000000000001</v>
      </c>
      <c r="F164" s="2">
        <v>2.5590000000000002</v>
      </c>
      <c r="G164" s="2">
        <v>1.9684999999999999</v>
      </c>
      <c r="H164" s="2">
        <v>3.9369999999999998</v>
      </c>
      <c r="I164" s="2">
        <v>3.9369999999999998</v>
      </c>
      <c r="J164" s="2">
        <v>1.1220000000000001</v>
      </c>
      <c r="K164" s="2">
        <v>2.5590000000000002</v>
      </c>
      <c r="L164" s="2">
        <v>1.9684999999999999</v>
      </c>
    </row>
    <row r="165" spans="1:12" x14ac:dyDescent="0.25">
      <c r="A165" s="1">
        <v>164</v>
      </c>
      <c r="B165" s="6" t="s">
        <v>180</v>
      </c>
      <c r="C165" s="2">
        <v>5.3149606299212602</v>
      </c>
      <c r="D165" s="2">
        <v>4.9212598425196852</v>
      </c>
      <c r="E165" s="2">
        <v>1.3779527559055118</v>
      </c>
      <c r="F165" s="2">
        <v>3.877952755905512</v>
      </c>
      <c r="G165" s="2">
        <v>2.5</v>
      </c>
      <c r="H165" s="2">
        <v>5.3149606299212602</v>
      </c>
      <c r="I165" s="2">
        <v>4.9212598425196852</v>
      </c>
      <c r="J165" s="2">
        <v>1.9685039370078741</v>
      </c>
      <c r="K165" s="2">
        <v>3.877952755905512</v>
      </c>
      <c r="L165" s="2">
        <v>2.5</v>
      </c>
    </row>
    <row r="166" spans="1:12" x14ac:dyDescent="0.25">
      <c r="A166" s="1">
        <v>165</v>
      </c>
      <c r="B166" s="1" t="s">
        <v>174</v>
      </c>
      <c r="C166" s="2">
        <v>4</v>
      </c>
      <c r="D166" s="2">
        <v>3</v>
      </c>
      <c r="E166" s="2">
        <v>1.375</v>
      </c>
      <c r="F166" s="2">
        <v>2</v>
      </c>
      <c r="G166" s="2">
        <v>2</v>
      </c>
      <c r="H166" s="2">
        <v>4</v>
      </c>
      <c r="I166" s="2">
        <v>3</v>
      </c>
      <c r="J166" s="2">
        <v>1.375</v>
      </c>
      <c r="K166" s="2">
        <v>2</v>
      </c>
      <c r="L166" s="2">
        <v>2</v>
      </c>
    </row>
    <row r="167" spans="1:12" s="10" customFormat="1" x14ac:dyDescent="0.25">
      <c r="A167" s="1">
        <v>166</v>
      </c>
      <c r="B167" s="6" t="s">
        <v>175</v>
      </c>
      <c r="C167" s="2">
        <v>3.5</v>
      </c>
      <c r="D167" s="2">
        <v>3.25</v>
      </c>
      <c r="E167" s="2">
        <v>1.25</v>
      </c>
      <c r="F167" s="2">
        <v>1.5</v>
      </c>
      <c r="G167" s="2">
        <v>2</v>
      </c>
      <c r="H167" s="2">
        <v>3.5</v>
      </c>
      <c r="I167" s="2">
        <v>3.25</v>
      </c>
      <c r="J167" s="2">
        <v>1.25</v>
      </c>
      <c r="K167" s="2">
        <v>1.5</v>
      </c>
      <c r="L167" s="2">
        <v>2</v>
      </c>
    </row>
    <row r="168" spans="1:12" x14ac:dyDescent="0.25">
      <c r="A168" s="1">
        <v>167</v>
      </c>
      <c r="B168" s="11" t="s">
        <v>176</v>
      </c>
      <c r="C168" s="2">
        <v>4</v>
      </c>
      <c r="D168" s="2">
        <v>3</v>
      </c>
      <c r="E168" s="2">
        <v>1.125</v>
      </c>
      <c r="F168" s="2">
        <v>3</v>
      </c>
      <c r="G168" s="2">
        <v>2</v>
      </c>
      <c r="H168" s="2">
        <v>4</v>
      </c>
      <c r="I168" s="2">
        <v>3</v>
      </c>
      <c r="J168" s="2">
        <v>1.125</v>
      </c>
      <c r="K168" s="2">
        <v>3</v>
      </c>
      <c r="L168" s="2">
        <v>2</v>
      </c>
    </row>
    <row r="169" spans="1:12" x14ac:dyDescent="0.25">
      <c r="A169" s="1">
        <v>168</v>
      </c>
      <c r="B169" s="6" t="s">
        <v>177</v>
      </c>
      <c r="C169" s="2">
        <v>5</v>
      </c>
      <c r="D169" s="2">
        <v>5.9055</v>
      </c>
      <c r="E169" s="2">
        <v>1.25</v>
      </c>
      <c r="F169" s="2">
        <v>2</v>
      </c>
      <c r="G169" s="2">
        <v>1.9684999999999999</v>
      </c>
      <c r="H169" s="2">
        <v>5</v>
      </c>
      <c r="I169" s="2">
        <v>5.9055</v>
      </c>
      <c r="J169" s="2">
        <v>1.25</v>
      </c>
      <c r="K169" s="2">
        <v>2</v>
      </c>
      <c r="L169" s="2">
        <v>1.9684999999999999</v>
      </c>
    </row>
    <row r="170" spans="1:12" x14ac:dyDescent="0.25">
      <c r="A170" s="1">
        <v>169</v>
      </c>
      <c r="B170" s="9" t="s">
        <v>178</v>
      </c>
      <c r="C170" s="2">
        <v>5.9055</v>
      </c>
      <c r="D170" s="2">
        <v>4.7244000000000002</v>
      </c>
      <c r="E170" s="2">
        <v>1.5748</v>
      </c>
      <c r="F170" s="2">
        <v>2.5590000000000002</v>
      </c>
      <c r="G170" s="2">
        <v>2.0078999999999998</v>
      </c>
      <c r="H170" s="2">
        <v>5.9055</v>
      </c>
      <c r="I170" s="2">
        <v>4.7244000000000002</v>
      </c>
      <c r="J170" s="2">
        <v>1.5748</v>
      </c>
      <c r="K170" s="2">
        <v>2.5590000000000002</v>
      </c>
      <c r="L170" s="2">
        <v>2.0276000000000001</v>
      </c>
    </row>
    <row r="171" spans="1:12" x14ac:dyDescent="0.25">
      <c r="A171" s="1">
        <v>170</v>
      </c>
      <c r="B171" s="15" t="s">
        <v>179</v>
      </c>
      <c r="C171" s="2">
        <v>5.9055</v>
      </c>
      <c r="D171" s="2">
        <v>4.7244000000000002</v>
      </c>
      <c r="E171" s="2">
        <v>1.5748</v>
      </c>
      <c r="F171" s="2">
        <v>2.5590000000000002</v>
      </c>
      <c r="G171" s="2">
        <v>2.0078999999999998</v>
      </c>
      <c r="H171" s="2">
        <v>5.9055</v>
      </c>
      <c r="I171" s="2">
        <v>4.7244000000000002</v>
      </c>
      <c r="J171" s="2">
        <v>1.5748</v>
      </c>
      <c r="K171" s="2">
        <v>2.5590000000000002</v>
      </c>
      <c r="L171" s="2">
        <v>2.8149999999999999</v>
      </c>
    </row>
    <row r="172" spans="1:12" x14ac:dyDescent="0.25">
      <c r="A172" s="1">
        <v>171</v>
      </c>
      <c r="B172" s="6" t="s">
        <v>181</v>
      </c>
      <c r="C172" s="2">
        <v>4</v>
      </c>
      <c r="D172" s="2">
        <v>4</v>
      </c>
      <c r="E172" s="2">
        <v>1.25</v>
      </c>
      <c r="F172" s="2">
        <v>2.75</v>
      </c>
      <c r="G172" s="2">
        <v>2</v>
      </c>
      <c r="H172" s="2">
        <v>4</v>
      </c>
      <c r="I172" s="2">
        <v>4</v>
      </c>
      <c r="J172" s="2">
        <v>1.25</v>
      </c>
      <c r="K172" s="2">
        <v>2.75</v>
      </c>
      <c r="L172" s="2">
        <v>2</v>
      </c>
    </row>
    <row r="173" spans="1:12" x14ac:dyDescent="0.25">
      <c r="A173" s="1">
        <v>172</v>
      </c>
      <c r="B173" s="6" t="s">
        <v>182</v>
      </c>
      <c r="C173" s="2">
        <v>3</v>
      </c>
      <c r="D173" s="2">
        <v>3</v>
      </c>
      <c r="E173" s="2">
        <v>1.25</v>
      </c>
      <c r="F173" s="2">
        <v>1.625</v>
      </c>
      <c r="G173" s="2">
        <v>2</v>
      </c>
      <c r="H173" s="2">
        <v>3</v>
      </c>
      <c r="I173" s="2">
        <v>3</v>
      </c>
      <c r="J173" s="2">
        <v>1.25</v>
      </c>
      <c r="K173" s="2">
        <v>1.625</v>
      </c>
      <c r="L173" s="2">
        <v>2</v>
      </c>
    </row>
    <row r="174" spans="1:12" x14ac:dyDescent="0.25">
      <c r="A174" s="1">
        <v>173</v>
      </c>
      <c r="B174" s="6" t="s">
        <v>183</v>
      </c>
      <c r="C174" s="2">
        <v>3</v>
      </c>
      <c r="D174" s="2">
        <v>3</v>
      </c>
      <c r="E174" s="2">
        <v>1.25</v>
      </c>
      <c r="F174" s="2">
        <v>2</v>
      </c>
      <c r="G174" s="2">
        <v>2</v>
      </c>
      <c r="H174" s="2">
        <v>3</v>
      </c>
      <c r="I174" s="2">
        <v>3</v>
      </c>
      <c r="J174" s="2">
        <v>1.25</v>
      </c>
      <c r="K174" s="2">
        <v>2</v>
      </c>
      <c r="L174" s="2">
        <v>2</v>
      </c>
    </row>
    <row r="175" spans="1:12" x14ac:dyDescent="0.25">
      <c r="A175" s="1">
        <v>174</v>
      </c>
      <c r="B175" s="6" t="s">
        <v>184</v>
      </c>
      <c r="C175" s="2">
        <v>3</v>
      </c>
      <c r="D175" s="2">
        <v>3</v>
      </c>
      <c r="E175" s="2">
        <v>1.06</v>
      </c>
      <c r="F175" s="2">
        <v>1.97</v>
      </c>
      <c r="G175" s="2">
        <v>2</v>
      </c>
      <c r="H175" s="2">
        <v>3</v>
      </c>
      <c r="I175" s="2">
        <v>3</v>
      </c>
      <c r="J175" s="2">
        <v>1.06</v>
      </c>
      <c r="K175" s="2">
        <v>1.97</v>
      </c>
      <c r="L175" s="2">
        <v>2</v>
      </c>
    </row>
    <row r="176" spans="1:12" x14ac:dyDescent="0.25">
      <c r="A176" s="1">
        <v>175</v>
      </c>
      <c r="B176" s="6" t="s">
        <v>185</v>
      </c>
      <c r="C176" s="2">
        <v>4</v>
      </c>
      <c r="D176" s="2">
        <v>4</v>
      </c>
      <c r="E176" s="2">
        <v>1.5748</v>
      </c>
      <c r="F176" s="2">
        <v>1.5748</v>
      </c>
      <c r="G176" s="2">
        <v>1.9684999999999999</v>
      </c>
      <c r="H176" s="2">
        <v>4</v>
      </c>
      <c r="I176" s="2">
        <v>4</v>
      </c>
      <c r="J176" s="2">
        <v>1.5748</v>
      </c>
      <c r="K176" s="2">
        <v>1.5748</v>
      </c>
      <c r="L176" s="2">
        <v>1.9684999999999999</v>
      </c>
    </row>
    <row r="177" spans="1:12" x14ac:dyDescent="0.25">
      <c r="A177" s="1">
        <v>176</v>
      </c>
      <c r="B177" s="6" t="s">
        <v>187</v>
      </c>
      <c r="C177" s="2">
        <v>3</v>
      </c>
      <c r="D177" s="2">
        <v>3</v>
      </c>
      <c r="E177" s="2">
        <v>1.4173</v>
      </c>
      <c r="F177" s="2">
        <v>1.5748</v>
      </c>
      <c r="G177" s="2">
        <v>2.5590000000000002</v>
      </c>
      <c r="H177" s="2">
        <v>3</v>
      </c>
      <c r="I177" s="2">
        <v>3</v>
      </c>
      <c r="J177" s="2">
        <v>1.4173</v>
      </c>
      <c r="K177" s="2">
        <v>1.5748</v>
      </c>
      <c r="L177" s="2">
        <v>2.5590000000000002</v>
      </c>
    </row>
    <row r="178" spans="1:12" x14ac:dyDescent="0.25">
      <c r="A178" s="1">
        <v>177</v>
      </c>
      <c r="B178" s="6" t="s">
        <v>188</v>
      </c>
      <c r="C178" s="2">
        <v>3.625</v>
      </c>
      <c r="D178" s="2">
        <v>3</v>
      </c>
      <c r="E178" s="2">
        <v>1.125</v>
      </c>
      <c r="F178" s="2">
        <v>2.375</v>
      </c>
      <c r="G178" s="2">
        <v>2</v>
      </c>
      <c r="H178" s="2">
        <v>3.625</v>
      </c>
      <c r="I178" s="2">
        <v>3</v>
      </c>
      <c r="J178" s="2">
        <v>1.125</v>
      </c>
      <c r="K178" s="2">
        <v>2.375</v>
      </c>
      <c r="L178" s="2">
        <v>2</v>
      </c>
    </row>
    <row r="179" spans="1:12" x14ac:dyDescent="0.25">
      <c r="A179" s="1">
        <v>178</v>
      </c>
      <c r="B179" s="6" t="s">
        <v>189</v>
      </c>
      <c r="C179" s="2">
        <v>5.9055</v>
      </c>
      <c r="D179" s="2">
        <v>5.1181000000000001</v>
      </c>
      <c r="E179" s="2">
        <v>1.5748</v>
      </c>
      <c r="F179" s="2">
        <v>1.9684999999999999</v>
      </c>
      <c r="G179" s="2">
        <v>2.5</v>
      </c>
      <c r="H179" s="2">
        <v>5.9055</v>
      </c>
      <c r="I179" s="2">
        <v>5.1181000000000001</v>
      </c>
      <c r="J179" s="2">
        <v>1.5748</v>
      </c>
      <c r="K179" s="2">
        <v>1.9686999999999999</v>
      </c>
      <c r="L179" s="2">
        <v>2.5</v>
      </c>
    </row>
    <row r="180" spans="1:12" x14ac:dyDescent="0.25">
      <c r="A180" s="1">
        <v>179</v>
      </c>
      <c r="B180" s="6" t="s">
        <v>190</v>
      </c>
      <c r="C180" s="2">
        <v>3.6</v>
      </c>
      <c r="D180" s="2">
        <v>4.8</v>
      </c>
      <c r="E180" s="2">
        <v>1.6</v>
      </c>
      <c r="F180" s="2">
        <v>1.8</v>
      </c>
      <c r="G180" s="2">
        <v>2.2000000000000002</v>
      </c>
      <c r="H180" s="2">
        <v>3.6</v>
      </c>
      <c r="I180" s="2">
        <v>4.8</v>
      </c>
      <c r="J180" s="2">
        <v>1.6</v>
      </c>
      <c r="K180" s="2">
        <v>1.8</v>
      </c>
      <c r="L180" s="2">
        <v>2.2000000000000002</v>
      </c>
    </row>
    <row r="181" spans="1:12" x14ac:dyDescent="0.25">
      <c r="A181" s="1">
        <v>180</v>
      </c>
      <c r="B181" s="6" t="s">
        <v>191</v>
      </c>
      <c r="C181" s="2">
        <v>3.5</v>
      </c>
      <c r="D181" s="2">
        <v>3</v>
      </c>
      <c r="E181" s="2">
        <v>1.375</v>
      </c>
      <c r="F181" s="2">
        <v>2.5</v>
      </c>
      <c r="G181" s="2">
        <v>2</v>
      </c>
      <c r="H181" s="2">
        <v>3.5</v>
      </c>
      <c r="I181" s="2">
        <v>3</v>
      </c>
      <c r="J181" s="2">
        <v>1.375</v>
      </c>
      <c r="K181" s="2">
        <v>2.5</v>
      </c>
      <c r="L181" s="2">
        <v>2</v>
      </c>
    </row>
    <row r="182" spans="1:12" x14ac:dyDescent="0.25">
      <c r="A182" s="1">
        <v>181</v>
      </c>
      <c r="B182" s="6" t="s">
        <v>192</v>
      </c>
      <c r="C182" s="2">
        <v>4</v>
      </c>
      <c r="D182" s="2">
        <v>4</v>
      </c>
      <c r="E182" s="2">
        <v>1.375</v>
      </c>
      <c r="F182" s="2">
        <v>2</v>
      </c>
      <c r="G182" s="2">
        <v>2</v>
      </c>
      <c r="H182" s="2">
        <v>4</v>
      </c>
      <c r="I182" s="2">
        <v>4</v>
      </c>
      <c r="J182" s="2">
        <v>1.375</v>
      </c>
      <c r="K182" s="2">
        <v>2</v>
      </c>
      <c r="L182" s="2">
        <v>2</v>
      </c>
    </row>
    <row r="183" spans="1:12" x14ac:dyDescent="0.25">
      <c r="A183" s="1">
        <v>182</v>
      </c>
      <c r="B183" s="6" t="s">
        <v>193</v>
      </c>
      <c r="C183" s="2">
        <v>5.9055</v>
      </c>
      <c r="D183" s="2">
        <v>5.1181000000000001</v>
      </c>
      <c r="E183" s="2">
        <v>1.25</v>
      </c>
      <c r="F183" s="2">
        <v>1.9684999999999999</v>
      </c>
      <c r="G183" s="2">
        <v>2.5</v>
      </c>
      <c r="H183" s="2">
        <v>5.9055</v>
      </c>
      <c r="I183" s="2">
        <v>5.1181000000000001</v>
      </c>
      <c r="J183" s="2">
        <v>1.25</v>
      </c>
      <c r="K183" s="2">
        <v>1.9686999999999999</v>
      </c>
      <c r="L183" s="2">
        <v>2.5</v>
      </c>
    </row>
    <row r="184" spans="1:12" x14ac:dyDescent="0.25">
      <c r="A184" s="1">
        <v>183</v>
      </c>
      <c r="B184" s="6" t="s">
        <v>194</v>
      </c>
      <c r="C184" s="2">
        <v>3</v>
      </c>
      <c r="D184" s="2">
        <v>4</v>
      </c>
      <c r="E184" s="2">
        <v>1.25</v>
      </c>
      <c r="F184" s="2">
        <v>1.25</v>
      </c>
      <c r="G184" s="2">
        <v>2</v>
      </c>
      <c r="H184" s="2">
        <v>3</v>
      </c>
      <c r="I184" s="2">
        <v>4</v>
      </c>
      <c r="J184" s="2">
        <v>1.25</v>
      </c>
      <c r="K184" s="2">
        <v>1.25</v>
      </c>
      <c r="L184" s="2">
        <v>2.42</v>
      </c>
    </row>
    <row r="185" spans="1:12" x14ac:dyDescent="0.25">
      <c r="A185" s="1">
        <v>184</v>
      </c>
      <c r="B185" s="12" t="s">
        <v>195</v>
      </c>
      <c r="C185" s="2">
        <v>2.9921000000000002</v>
      </c>
      <c r="D185" s="2">
        <v>4.5275600000000003</v>
      </c>
      <c r="E185" s="2">
        <v>1.375</v>
      </c>
      <c r="F185" s="2">
        <v>1.9684999999999999</v>
      </c>
      <c r="G185" s="2">
        <v>1.9684999999999999</v>
      </c>
      <c r="H185" s="2">
        <v>4.5</v>
      </c>
      <c r="I185" s="2">
        <v>6.5</v>
      </c>
      <c r="J185" s="2">
        <v>1.375</v>
      </c>
      <c r="K185" s="2">
        <v>1.9684999999999999</v>
      </c>
      <c r="L185" s="2">
        <v>3</v>
      </c>
    </row>
    <row r="186" spans="1:12" x14ac:dyDescent="0.25">
      <c r="A186" s="1">
        <v>185</v>
      </c>
      <c r="B186" s="13" t="s">
        <v>196</v>
      </c>
      <c r="C186" s="2">
        <v>4.75</v>
      </c>
      <c r="D186" s="2">
        <v>4</v>
      </c>
      <c r="E186" s="2">
        <v>1.5</v>
      </c>
      <c r="F186" s="2">
        <v>2.3622000000000001</v>
      </c>
      <c r="G186" s="2">
        <v>2.5</v>
      </c>
      <c r="H186" s="2">
        <v>4.75</v>
      </c>
      <c r="I186" s="2">
        <v>5</v>
      </c>
      <c r="J186" s="2">
        <v>1.5</v>
      </c>
      <c r="K186" s="2">
        <v>2.3622000000000001</v>
      </c>
      <c r="L186" s="2">
        <v>2</v>
      </c>
    </row>
    <row r="187" spans="1:12" x14ac:dyDescent="0.25">
      <c r="A187" s="1">
        <v>186</v>
      </c>
      <c r="B187" s="9" t="s">
        <v>197</v>
      </c>
      <c r="C187" s="2">
        <v>3.15</v>
      </c>
      <c r="D187" s="2">
        <v>3.5625</v>
      </c>
      <c r="E187" s="2">
        <v>1.3779999999999999</v>
      </c>
      <c r="F187" s="2">
        <v>1.575</v>
      </c>
      <c r="G187" s="2">
        <v>1.3779999999999999</v>
      </c>
      <c r="H187" s="2">
        <v>3.15</v>
      </c>
      <c r="I187" s="2">
        <v>3.5625</v>
      </c>
      <c r="J187" s="2">
        <v>1.3779999999999999</v>
      </c>
      <c r="K187" s="2">
        <v>1.575</v>
      </c>
      <c r="L187" s="2">
        <v>1.3779999999999999</v>
      </c>
    </row>
    <row r="188" spans="1:12" x14ac:dyDescent="0.25">
      <c r="A188" s="1">
        <v>187</v>
      </c>
      <c r="B188" s="6" t="s">
        <v>198</v>
      </c>
      <c r="C188" s="2">
        <v>3.5</v>
      </c>
      <c r="D188" s="2">
        <v>3</v>
      </c>
      <c r="E188" s="2">
        <v>1.5</v>
      </c>
      <c r="F188" s="2">
        <v>1.25</v>
      </c>
      <c r="G188" s="2">
        <v>2</v>
      </c>
      <c r="H188" s="2">
        <v>3.5</v>
      </c>
      <c r="I188" s="2">
        <v>3</v>
      </c>
      <c r="J188" s="2">
        <v>1.5</v>
      </c>
      <c r="K188" s="2">
        <v>1.25</v>
      </c>
      <c r="L188" s="2">
        <v>2</v>
      </c>
    </row>
    <row r="189" spans="1:12" x14ac:dyDescent="0.25">
      <c r="A189" s="1">
        <v>188</v>
      </c>
      <c r="B189" s="6" t="s">
        <v>199</v>
      </c>
      <c r="C189" s="2">
        <v>3</v>
      </c>
      <c r="D189" s="2">
        <v>4</v>
      </c>
      <c r="E189" s="2">
        <v>1.06</v>
      </c>
      <c r="F189" s="2">
        <v>2</v>
      </c>
      <c r="G189" s="2">
        <v>2.5</v>
      </c>
      <c r="H189" s="2">
        <v>3</v>
      </c>
      <c r="I189" s="2">
        <v>4</v>
      </c>
      <c r="J189" s="2">
        <v>1.06</v>
      </c>
      <c r="K189" s="2">
        <v>2</v>
      </c>
      <c r="L189" s="2">
        <v>3.25</v>
      </c>
    </row>
    <row r="190" spans="1:12" x14ac:dyDescent="0.25">
      <c r="A190" s="1">
        <v>189</v>
      </c>
      <c r="B190" s="1" t="s">
        <v>200</v>
      </c>
      <c r="C190" s="2">
        <v>4</v>
      </c>
      <c r="D190" s="2">
        <v>3</v>
      </c>
      <c r="E190" s="2">
        <v>1.125</v>
      </c>
      <c r="F190" s="2">
        <v>2.375</v>
      </c>
      <c r="G190" s="2">
        <v>2.5</v>
      </c>
      <c r="H190" s="2">
        <v>4</v>
      </c>
      <c r="I190" s="2">
        <v>3</v>
      </c>
      <c r="J190" s="2">
        <v>1.125</v>
      </c>
      <c r="K190" s="2">
        <v>2.375</v>
      </c>
      <c r="L190" s="2">
        <v>2.5</v>
      </c>
    </row>
    <row r="191" spans="1:12" x14ac:dyDescent="0.25">
      <c r="A191" s="1">
        <v>190</v>
      </c>
      <c r="B191" s="6" t="s">
        <v>201</v>
      </c>
      <c r="C191" s="2">
        <v>3.5432999999999999</v>
      </c>
      <c r="D191" s="2">
        <v>2.7559</v>
      </c>
      <c r="E191" s="2">
        <v>1.2598</v>
      </c>
      <c r="F191" s="2">
        <v>1.3778999999999999</v>
      </c>
      <c r="G191" s="2">
        <v>1.7716000000000001</v>
      </c>
      <c r="H191" s="2">
        <v>3.5432999999999999</v>
      </c>
      <c r="I191" s="2">
        <v>2.7559</v>
      </c>
      <c r="J191" s="2">
        <v>1.2598</v>
      </c>
      <c r="K191" s="2">
        <v>1.3778999999999999</v>
      </c>
      <c r="L191" s="2">
        <v>1.7716000000000001</v>
      </c>
    </row>
    <row r="192" spans="1:12" x14ac:dyDescent="0.25">
      <c r="A192" s="1">
        <v>191</v>
      </c>
      <c r="B192" s="6" t="s">
        <v>202</v>
      </c>
      <c r="C192" s="2">
        <v>3</v>
      </c>
      <c r="D192" s="2">
        <v>4</v>
      </c>
      <c r="E192" s="2">
        <v>1.25</v>
      </c>
      <c r="F192" s="2">
        <v>1.25</v>
      </c>
      <c r="G192" s="2">
        <v>1.9685039370078701</v>
      </c>
      <c r="H192" s="2">
        <v>3</v>
      </c>
      <c r="I192" s="2">
        <v>4</v>
      </c>
      <c r="J192" s="2">
        <v>1.25</v>
      </c>
      <c r="K192" s="2">
        <v>1.25</v>
      </c>
      <c r="L192" s="2">
        <v>1.9685039370078701</v>
      </c>
    </row>
    <row r="193" spans="1:12" x14ac:dyDescent="0.25">
      <c r="A193" s="1">
        <v>192</v>
      </c>
      <c r="B193" s="6" t="s">
        <v>203</v>
      </c>
      <c r="C193" s="2">
        <v>3.9369999999999998</v>
      </c>
      <c r="D193" s="2">
        <v>3.9369999999999998</v>
      </c>
      <c r="E193" s="2">
        <v>1.1220000000000001</v>
      </c>
      <c r="F193" s="2">
        <v>1.998</v>
      </c>
      <c r="G193" s="2">
        <v>1.9684999999999999</v>
      </c>
      <c r="H193" s="2">
        <v>3.9369999999999998</v>
      </c>
      <c r="I193" s="2">
        <v>3.9369999999999998</v>
      </c>
      <c r="J193" s="2">
        <v>1.1220000000000001</v>
      </c>
      <c r="K193" s="2">
        <v>1.998</v>
      </c>
      <c r="L193" s="2">
        <v>1.9684999999999999</v>
      </c>
    </row>
    <row r="194" spans="1:12" x14ac:dyDescent="0.25">
      <c r="A194" s="1">
        <v>193</v>
      </c>
      <c r="B194" s="6" t="s">
        <v>204</v>
      </c>
      <c r="C194" s="2">
        <v>4.3307000000000002</v>
      </c>
      <c r="D194" s="2">
        <v>3.1496</v>
      </c>
      <c r="E194" s="2">
        <v>1.1811</v>
      </c>
      <c r="F194" s="2">
        <v>1.5748</v>
      </c>
      <c r="G194" s="2">
        <v>1.7716000000000001</v>
      </c>
      <c r="H194" s="2">
        <v>4.3307000000000002</v>
      </c>
      <c r="I194" s="2">
        <v>3.1496</v>
      </c>
      <c r="J194" s="2">
        <v>1.1811</v>
      </c>
      <c r="K194" s="2">
        <v>1.9684999999999999</v>
      </c>
      <c r="L194" s="2">
        <v>1.7716000000000001</v>
      </c>
    </row>
    <row r="195" spans="1:12" x14ac:dyDescent="0.25">
      <c r="A195" s="1">
        <v>194</v>
      </c>
      <c r="B195" s="6" t="s">
        <v>205</v>
      </c>
      <c r="C195" s="2">
        <v>4.3307000000000002</v>
      </c>
      <c r="D195" s="2">
        <v>3.5432999999999999</v>
      </c>
      <c r="E195" s="2">
        <v>1.3385</v>
      </c>
      <c r="F195" s="2">
        <v>1.9684999999999999</v>
      </c>
      <c r="G195" s="2">
        <v>1.7716000000000001</v>
      </c>
      <c r="H195" s="2">
        <v>4.3307000000000002</v>
      </c>
      <c r="I195" s="2">
        <v>3.5432999999999999</v>
      </c>
      <c r="J195" s="2">
        <v>1.3385</v>
      </c>
      <c r="K195" s="2">
        <v>2.3622000000000001</v>
      </c>
      <c r="L195" s="2">
        <v>1.7716000000000001</v>
      </c>
    </row>
    <row r="196" spans="1:12" x14ac:dyDescent="0.25">
      <c r="A196" s="1">
        <v>195</v>
      </c>
      <c r="B196" s="6" t="s">
        <v>206</v>
      </c>
      <c r="C196" s="2">
        <v>3.25</v>
      </c>
      <c r="D196" s="2">
        <v>3.5</v>
      </c>
      <c r="E196" s="2">
        <v>1.125</v>
      </c>
      <c r="F196" s="2">
        <v>1.5</v>
      </c>
      <c r="G196" s="2">
        <v>2</v>
      </c>
      <c r="H196" s="2">
        <v>3.25</v>
      </c>
      <c r="I196" s="2">
        <v>3.5</v>
      </c>
      <c r="J196" s="2">
        <v>1.125</v>
      </c>
      <c r="K196" s="2">
        <v>1.5</v>
      </c>
      <c r="L196" s="2">
        <v>2</v>
      </c>
    </row>
    <row r="197" spans="1:12" x14ac:dyDescent="0.25">
      <c r="A197" s="1">
        <v>196</v>
      </c>
      <c r="B197" s="6" t="s">
        <v>207</v>
      </c>
      <c r="C197" s="2">
        <v>5.1181000000000001</v>
      </c>
      <c r="D197" s="2">
        <v>4.9211999999999998</v>
      </c>
      <c r="E197" s="2">
        <v>1.2598</v>
      </c>
      <c r="F197" s="2">
        <v>1.6929000000000001</v>
      </c>
      <c r="G197" s="2">
        <v>2.7559</v>
      </c>
      <c r="H197" s="2">
        <v>4.9211999999999998</v>
      </c>
      <c r="I197" s="2">
        <v>4.9211999999999998</v>
      </c>
      <c r="J197" s="2">
        <v>1.2598</v>
      </c>
      <c r="K197" s="2">
        <v>1.6929000000000001</v>
      </c>
      <c r="L197" s="2">
        <v>2.7559</v>
      </c>
    </row>
    <row r="198" spans="1:12" x14ac:dyDescent="0.25">
      <c r="A198" s="1">
        <v>197</v>
      </c>
      <c r="B198" s="6" t="s">
        <v>208</v>
      </c>
      <c r="C198" s="2">
        <v>4.9212999999999996</v>
      </c>
      <c r="D198" s="2">
        <v>5.1181000000000001</v>
      </c>
      <c r="E198" s="2">
        <v>1.5748</v>
      </c>
      <c r="F198" s="2">
        <v>2.3622000000000001</v>
      </c>
      <c r="G198" s="2">
        <v>2.1654</v>
      </c>
      <c r="H198" s="2">
        <v>4.9212999999999996</v>
      </c>
      <c r="I198" s="2">
        <v>5.1181000000000001</v>
      </c>
      <c r="J198" s="2">
        <v>1.5748</v>
      </c>
      <c r="K198" s="2">
        <v>2.3622000000000001</v>
      </c>
      <c r="L198" s="2">
        <v>2.1654</v>
      </c>
    </row>
    <row r="199" spans="1:12" x14ac:dyDescent="0.25">
      <c r="A199" s="1">
        <v>198</v>
      </c>
      <c r="B199" s="6" t="s">
        <v>209</v>
      </c>
      <c r="C199" s="2">
        <v>4</v>
      </c>
      <c r="D199" s="2">
        <v>4</v>
      </c>
      <c r="E199" s="2">
        <v>1.5</v>
      </c>
      <c r="F199" s="2">
        <v>2</v>
      </c>
      <c r="G199" s="2">
        <v>2</v>
      </c>
      <c r="H199" s="2">
        <v>4</v>
      </c>
      <c r="I199" s="2">
        <v>4</v>
      </c>
      <c r="J199" s="2">
        <v>1.5</v>
      </c>
      <c r="K199" s="2">
        <v>2</v>
      </c>
      <c r="L199" s="2">
        <v>2</v>
      </c>
    </row>
    <row r="200" spans="1:12" x14ac:dyDescent="0.25">
      <c r="A200" s="1">
        <v>199</v>
      </c>
      <c r="B200" s="6" t="s">
        <v>210</v>
      </c>
      <c r="C200" s="2">
        <v>4</v>
      </c>
      <c r="D200" s="2">
        <v>2.9527999999999999</v>
      </c>
      <c r="E200" s="2">
        <v>1.2598</v>
      </c>
      <c r="F200" s="2">
        <v>2.4803000000000002</v>
      </c>
      <c r="G200" s="2">
        <v>2.7559</v>
      </c>
      <c r="H200" s="2">
        <v>5</v>
      </c>
      <c r="I200" s="2">
        <v>4.3307000000000002</v>
      </c>
      <c r="J200" s="2">
        <v>1.2598</v>
      </c>
      <c r="K200" s="2">
        <v>2.4803000000000002</v>
      </c>
      <c r="L200" s="2">
        <v>2.7559</v>
      </c>
    </row>
    <row r="201" spans="1:12" x14ac:dyDescent="0.25">
      <c r="A201" s="1">
        <v>200</v>
      </c>
      <c r="B201" s="6" t="s">
        <v>211</v>
      </c>
      <c r="C201" s="2">
        <v>4</v>
      </c>
      <c r="D201" s="2">
        <v>2.9527999999999999</v>
      </c>
      <c r="E201" s="2">
        <v>1.2598</v>
      </c>
      <c r="F201" s="2">
        <v>2.4803000000000002</v>
      </c>
      <c r="G201" s="2">
        <v>2.5</v>
      </c>
      <c r="H201" s="2">
        <v>4</v>
      </c>
      <c r="I201" s="2">
        <v>2.9527999999999999</v>
      </c>
      <c r="J201" s="2">
        <v>2.9527999999999999</v>
      </c>
      <c r="K201" s="2">
        <v>2.9527999999999999</v>
      </c>
      <c r="L201" s="2">
        <v>2.9527999999999999</v>
      </c>
    </row>
    <row r="202" spans="1:12" x14ac:dyDescent="0.25">
      <c r="A202" s="1">
        <v>201</v>
      </c>
      <c r="B202" s="6" t="s">
        <v>212</v>
      </c>
      <c r="C202" s="2">
        <v>4</v>
      </c>
      <c r="D202" s="2">
        <v>2.9527999999999999</v>
      </c>
      <c r="E202" s="2">
        <v>1.3778999999999999</v>
      </c>
      <c r="F202" s="2">
        <v>2.4803000000000002</v>
      </c>
      <c r="G202" s="2">
        <v>2.5</v>
      </c>
      <c r="H202" s="2">
        <v>4</v>
      </c>
      <c r="I202" s="2">
        <v>2.9527999999999999</v>
      </c>
      <c r="J202" s="2">
        <v>1.3778999999999999</v>
      </c>
      <c r="K202" s="2">
        <v>2.4803000000000002</v>
      </c>
      <c r="L202" s="2">
        <v>2.5</v>
      </c>
    </row>
    <row r="203" spans="1:12" x14ac:dyDescent="0.25">
      <c r="A203" s="1">
        <v>202</v>
      </c>
      <c r="B203" s="6" t="s">
        <v>213</v>
      </c>
      <c r="C203" s="2">
        <v>4</v>
      </c>
      <c r="D203" s="2">
        <v>2.9527999999999999</v>
      </c>
      <c r="E203" s="2">
        <v>1</v>
      </c>
      <c r="F203" s="2">
        <v>2.4803000000000002</v>
      </c>
      <c r="G203" s="2">
        <v>2.5</v>
      </c>
      <c r="H203" s="2">
        <v>4</v>
      </c>
      <c r="I203" s="2">
        <v>2.9527999999999999</v>
      </c>
      <c r="J203" s="2">
        <v>1</v>
      </c>
      <c r="K203" s="2">
        <v>2.4803000000000002</v>
      </c>
      <c r="L203" s="2">
        <v>2.5</v>
      </c>
    </row>
    <row r="204" spans="1:12" x14ac:dyDescent="0.25">
      <c r="A204" s="1">
        <v>203</v>
      </c>
      <c r="B204" s="6" t="s">
        <v>214</v>
      </c>
      <c r="C204" s="2">
        <v>4</v>
      </c>
      <c r="D204" s="2">
        <v>4</v>
      </c>
      <c r="E204" s="2">
        <v>1</v>
      </c>
      <c r="F204" s="2">
        <v>2</v>
      </c>
      <c r="G204" s="2">
        <v>2</v>
      </c>
      <c r="H204" s="2">
        <v>4</v>
      </c>
      <c r="I204" s="2">
        <v>4</v>
      </c>
      <c r="J204" s="2">
        <v>1</v>
      </c>
      <c r="K204" s="2">
        <v>2</v>
      </c>
      <c r="L204" s="2">
        <v>2</v>
      </c>
    </row>
    <row r="205" spans="1:12" x14ac:dyDescent="0.25">
      <c r="A205" s="1">
        <v>204</v>
      </c>
      <c r="B205" s="6" t="s">
        <v>215</v>
      </c>
      <c r="C205" s="2">
        <v>3.5432999999999999</v>
      </c>
      <c r="D205" s="2">
        <v>3.5432999999999999</v>
      </c>
      <c r="E205" s="2">
        <v>1.5748</v>
      </c>
      <c r="F205" s="2">
        <v>1.5748</v>
      </c>
      <c r="G205" s="2">
        <v>2.5590000000000002</v>
      </c>
      <c r="H205" s="2">
        <v>3.5432999999999999</v>
      </c>
      <c r="I205" s="2">
        <v>3.5432999999999999</v>
      </c>
      <c r="J205" s="2">
        <v>1.5748</v>
      </c>
      <c r="K205" s="2">
        <v>1.5748</v>
      </c>
      <c r="L205" s="2">
        <v>1.9684999999999999</v>
      </c>
    </row>
    <row r="206" spans="1:12" x14ac:dyDescent="0.25">
      <c r="A206" s="1">
        <v>206</v>
      </c>
      <c r="B206" s="6" t="s">
        <v>218</v>
      </c>
      <c r="C206" s="2">
        <v>5</v>
      </c>
      <c r="D206" s="2">
        <v>6</v>
      </c>
      <c r="E206" s="2">
        <v>1.5</v>
      </c>
      <c r="F206" s="2">
        <v>2.5</v>
      </c>
      <c r="G206" s="2">
        <v>2</v>
      </c>
      <c r="H206" s="2">
        <v>5</v>
      </c>
      <c r="I206" s="2">
        <v>6</v>
      </c>
      <c r="J206" s="2">
        <v>2</v>
      </c>
      <c r="K206" s="2">
        <v>2.5</v>
      </c>
      <c r="L206" s="2">
        <v>2</v>
      </c>
    </row>
    <row r="207" spans="1:12" x14ac:dyDescent="0.25">
      <c r="A207" s="1">
        <v>207</v>
      </c>
      <c r="B207" s="6" t="s">
        <v>216</v>
      </c>
      <c r="C207" s="2">
        <v>4</v>
      </c>
      <c r="D207" s="2">
        <v>3.5432999999999999</v>
      </c>
      <c r="E207" s="2">
        <v>1.3779999999999999</v>
      </c>
      <c r="F207" s="2">
        <v>1.5748</v>
      </c>
      <c r="G207" s="2">
        <v>2.1654</v>
      </c>
      <c r="H207" s="2">
        <v>4</v>
      </c>
      <c r="I207" s="2">
        <v>3.5432999999999999</v>
      </c>
      <c r="J207" s="2">
        <v>1.3779999999999999</v>
      </c>
      <c r="K207" s="2">
        <v>1.5748</v>
      </c>
      <c r="L207" s="2">
        <v>2.1654</v>
      </c>
    </row>
    <row r="208" spans="1:12" x14ac:dyDescent="0.25">
      <c r="A208" s="1">
        <v>208</v>
      </c>
      <c r="B208" s="6" t="s">
        <v>217</v>
      </c>
      <c r="C208" s="2">
        <v>4</v>
      </c>
      <c r="D208" s="2">
        <v>3</v>
      </c>
      <c r="E208" s="2">
        <v>1.125</v>
      </c>
      <c r="F208" s="2">
        <v>2.125</v>
      </c>
      <c r="G208" s="2">
        <v>2</v>
      </c>
      <c r="H208" s="2">
        <v>4</v>
      </c>
      <c r="I208" s="2">
        <v>3</v>
      </c>
      <c r="J208" s="2">
        <v>1.125</v>
      </c>
      <c r="K208" s="2">
        <v>2.125</v>
      </c>
      <c r="L208" s="2">
        <v>2</v>
      </c>
    </row>
    <row r="209" spans="1:12" x14ac:dyDescent="0.25">
      <c r="A209" s="1">
        <v>209</v>
      </c>
      <c r="B209" s="6" t="s">
        <v>219</v>
      </c>
      <c r="C209" s="2">
        <v>6</v>
      </c>
      <c r="D209" s="2">
        <v>6</v>
      </c>
      <c r="E209" s="2">
        <v>1.3779999999999999</v>
      </c>
      <c r="F209" s="2">
        <v>3.3464999999999998</v>
      </c>
      <c r="G209" s="2">
        <v>2.165</v>
      </c>
      <c r="H209" s="2">
        <v>6</v>
      </c>
      <c r="I209" s="2">
        <v>6</v>
      </c>
      <c r="J209" s="2">
        <v>1.3779999999999999</v>
      </c>
      <c r="K209" s="2">
        <v>3.3464999999999998</v>
      </c>
      <c r="L209" s="2">
        <v>2.165</v>
      </c>
    </row>
    <row r="210" spans="1:12" x14ac:dyDescent="0.25">
      <c r="A210" s="1">
        <v>210</v>
      </c>
      <c r="B210" s="1" t="s">
        <v>220</v>
      </c>
      <c r="C210" s="2">
        <v>4</v>
      </c>
      <c r="D210" s="2">
        <v>4</v>
      </c>
      <c r="E210" s="2">
        <v>1.5748</v>
      </c>
      <c r="F210" s="2">
        <v>1.5748</v>
      </c>
      <c r="G210" s="2">
        <v>1.7717000000000001</v>
      </c>
      <c r="H210" s="2">
        <v>4</v>
      </c>
      <c r="I210" s="2">
        <v>4</v>
      </c>
      <c r="J210" s="2">
        <v>1.5748</v>
      </c>
      <c r="K210" s="2">
        <v>1.5748</v>
      </c>
      <c r="L210" s="2">
        <v>1.9684999999999999</v>
      </c>
    </row>
    <row r="211" spans="1:12" x14ac:dyDescent="0.25">
      <c r="A211" s="1">
        <v>211</v>
      </c>
      <c r="B211" s="13" t="s">
        <v>221</v>
      </c>
      <c r="C211" s="2">
        <v>4.75</v>
      </c>
      <c r="D211" s="2">
        <v>4</v>
      </c>
      <c r="E211" s="2">
        <v>1.5</v>
      </c>
      <c r="F211" s="2">
        <v>2.3622000000000001</v>
      </c>
      <c r="G211" s="2">
        <v>3</v>
      </c>
      <c r="H211" s="2">
        <v>4.75</v>
      </c>
      <c r="I211" s="2">
        <v>5</v>
      </c>
      <c r="J211" s="2">
        <v>1.5</v>
      </c>
      <c r="K211" s="2">
        <v>2.3622000000000001</v>
      </c>
      <c r="L211" s="2">
        <v>4</v>
      </c>
    </row>
    <row r="212" spans="1:12" x14ac:dyDescent="0.25">
      <c r="A212" s="1">
        <v>212</v>
      </c>
      <c r="B212" s="13" t="s">
        <v>222</v>
      </c>
      <c r="C212" s="2">
        <v>4.75</v>
      </c>
      <c r="D212" s="2">
        <v>4</v>
      </c>
      <c r="E212" s="2">
        <v>1.5</v>
      </c>
      <c r="F212" s="2">
        <v>2.3622000000000001</v>
      </c>
      <c r="G212" s="2">
        <v>2.5</v>
      </c>
      <c r="H212" s="2">
        <v>4.75</v>
      </c>
      <c r="I212" s="2">
        <v>5</v>
      </c>
      <c r="J212" s="2">
        <v>1.5</v>
      </c>
      <c r="K212" s="2">
        <v>2.3622000000000001</v>
      </c>
      <c r="L212" s="2">
        <v>1.5</v>
      </c>
    </row>
    <row r="213" spans="1:12" x14ac:dyDescent="0.25">
      <c r="A213" s="1">
        <v>213</v>
      </c>
      <c r="B213" s="9" t="s">
        <v>223</v>
      </c>
      <c r="C213" s="2">
        <v>3.9369999999999998</v>
      </c>
      <c r="D213" s="2">
        <v>4.7244000000000002</v>
      </c>
      <c r="E213" s="2">
        <v>1.5740000000000001</v>
      </c>
      <c r="F213" s="2">
        <v>1.9684999999999999</v>
      </c>
      <c r="G213" s="2">
        <v>1.9684999999999999</v>
      </c>
      <c r="H213" s="2">
        <v>3.9369999999999998</v>
      </c>
      <c r="I213" s="2">
        <v>4.7244000000000002</v>
      </c>
      <c r="J213" s="2">
        <v>1.5740000000000001</v>
      </c>
      <c r="K213" s="2">
        <v>1.9684999999999999</v>
      </c>
      <c r="L213" s="2">
        <v>1.9684999999999999</v>
      </c>
    </row>
    <row r="214" spans="1:12" x14ac:dyDescent="0.25">
      <c r="A214" s="1">
        <v>214</v>
      </c>
      <c r="B214" s="1" t="s">
        <v>224</v>
      </c>
      <c r="C214" s="2">
        <v>5.9055</v>
      </c>
      <c r="D214" s="2">
        <v>6.2991999999999999</v>
      </c>
      <c r="E214" s="2">
        <v>1.5748</v>
      </c>
      <c r="F214" s="2">
        <v>1.9684999999999999</v>
      </c>
      <c r="G214" s="2">
        <v>2.5</v>
      </c>
      <c r="H214" s="2">
        <v>5.9055</v>
      </c>
      <c r="I214" s="2">
        <v>6.2991999999999999</v>
      </c>
      <c r="J214" s="2">
        <v>1.5748</v>
      </c>
      <c r="K214" s="2">
        <v>1.9684999999999999</v>
      </c>
      <c r="L214" s="2">
        <v>2.5</v>
      </c>
    </row>
    <row r="215" spans="1:12" x14ac:dyDescent="0.25">
      <c r="A215" s="1">
        <v>215</v>
      </c>
      <c r="B215" s="6" t="s">
        <v>225</v>
      </c>
      <c r="C215" s="2">
        <v>3</v>
      </c>
      <c r="D215" s="2">
        <v>3</v>
      </c>
      <c r="E215" s="2">
        <v>1.25</v>
      </c>
      <c r="F215" s="2">
        <v>2</v>
      </c>
      <c r="G215" s="2">
        <v>2</v>
      </c>
      <c r="H215" s="2">
        <v>3</v>
      </c>
      <c r="I215" s="2">
        <v>3</v>
      </c>
      <c r="J215" s="2">
        <v>1.25</v>
      </c>
      <c r="K215" s="2">
        <v>2</v>
      </c>
      <c r="L215" s="2">
        <v>2</v>
      </c>
    </row>
    <row r="216" spans="1:12" x14ac:dyDescent="0.25">
      <c r="A216" s="1">
        <v>216</v>
      </c>
      <c r="B216" s="6" t="s">
        <v>226</v>
      </c>
      <c r="C216" s="2">
        <v>2.5</v>
      </c>
      <c r="D216" s="2">
        <v>2.5</v>
      </c>
      <c r="E216" s="2">
        <v>1.125</v>
      </c>
      <c r="F216" s="2">
        <v>2</v>
      </c>
      <c r="G216" s="2">
        <v>2</v>
      </c>
      <c r="H216" s="2">
        <v>2.5</v>
      </c>
      <c r="I216" s="2">
        <v>2.5</v>
      </c>
      <c r="J216" s="2">
        <v>1.125</v>
      </c>
      <c r="K216" s="2">
        <v>2</v>
      </c>
      <c r="L216" s="2">
        <v>2</v>
      </c>
    </row>
    <row r="217" spans="1:12" x14ac:dyDescent="0.25">
      <c r="A217" s="1">
        <v>217</v>
      </c>
      <c r="B217" s="6" t="s">
        <v>227</v>
      </c>
      <c r="C217" s="2">
        <v>4</v>
      </c>
      <c r="D217" s="2">
        <v>3</v>
      </c>
      <c r="E217" s="2">
        <v>1.0625</v>
      </c>
      <c r="F217" s="2">
        <v>2</v>
      </c>
      <c r="G217" s="2">
        <v>2</v>
      </c>
      <c r="H217" s="2">
        <v>4</v>
      </c>
      <c r="I217" s="2">
        <v>3</v>
      </c>
      <c r="J217" s="2">
        <v>1.0625</v>
      </c>
      <c r="K217" s="2">
        <v>2</v>
      </c>
      <c r="L217" s="2">
        <v>2</v>
      </c>
    </row>
    <row r="218" spans="1:12" x14ac:dyDescent="0.25">
      <c r="A218" s="1">
        <v>218</v>
      </c>
      <c r="B218" s="13" t="s">
        <v>228</v>
      </c>
      <c r="C218" s="2">
        <v>4.33</v>
      </c>
      <c r="D218" s="2">
        <v>3.9369999999999998</v>
      </c>
      <c r="E218" s="2">
        <v>1.1811</v>
      </c>
      <c r="F218" s="2">
        <v>1.9684999999999999</v>
      </c>
      <c r="G218" s="2">
        <v>3.9369999999999998</v>
      </c>
      <c r="H218" s="2">
        <v>4.33</v>
      </c>
      <c r="I218" s="2">
        <v>3.9369999999999998</v>
      </c>
      <c r="J218" s="2">
        <v>1.1811</v>
      </c>
      <c r="K218" s="2">
        <v>1.9684999999999999</v>
      </c>
      <c r="L218" s="2">
        <v>3.9369999999999998</v>
      </c>
    </row>
    <row r="219" spans="1:12" x14ac:dyDescent="0.25">
      <c r="A219" s="1">
        <v>219</v>
      </c>
      <c r="B219" s="6" t="s">
        <v>229</v>
      </c>
      <c r="C219" s="2">
        <v>3.74</v>
      </c>
      <c r="D219" s="2">
        <v>3.5432999999999999</v>
      </c>
      <c r="E219" s="2">
        <v>1.5748</v>
      </c>
      <c r="F219" s="2">
        <v>1.5748</v>
      </c>
      <c r="G219" s="2">
        <v>1.9684999999999999</v>
      </c>
      <c r="H219" s="2">
        <v>3.74</v>
      </c>
      <c r="I219" s="2">
        <v>4.3307000000000002</v>
      </c>
      <c r="J219" s="2">
        <v>1.5748</v>
      </c>
      <c r="K219" s="2">
        <v>1.5748</v>
      </c>
      <c r="L219" s="2">
        <v>1.9684999999999999</v>
      </c>
    </row>
    <row r="220" spans="1:12" x14ac:dyDescent="0.25">
      <c r="A220" s="1">
        <v>220</v>
      </c>
      <c r="B220" s="1" t="s">
        <v>230</v>
      </c>
      <c r="C220" s="2">
        <v>3.25</v>
      </c>
      <c r="D220" s="2">
        <v>4.375</v>
      </c>
      <c r="E220" s="2">
        <v>1</v>
      </c>
      <c r="F220" s="2">
        <v>1.575</v>
      </c>
      <c r="G220" s="2">
        <v>2.56</v>
      </c>
      <c r="H220" s="2">
        <v>3.25</v>
      </c>
      <c r="I220" s="2">
        <v>4.375</v>
      </c>
      <c r="J220" s="2">
        <v>1</v>
      </c>
      <c r="K220" s="2">
        <v>1.575</v>
      </c>
      <c r="L220" s="2">
        <v>2.5</v>
      </c>
    </row>
    <row r="221" spans="1:12" x14ac:dyDescent="0.25">
      <c r="A221" s="1">
        <v>221</v>
      </c>
      <c r="B221" s="6" t="s">
        <v>231</v>
      </c>
      <c r="C221" s="2">
        <v>3</v>
      </c>
      <c r="D221" s="2">
        <v>3</v>
      </c>
      <c r="E221" s="2">
        <v>1.18</v>
      </c>
      <c r="F221" s="2">
        <v>1.25</v>
      </c>
      <c r="G221" s="2">
        <v>3</v>
      </c>
      <c r="H221" s="2">
        <v>3</v>
      </c>
      <c r="I221" s="2">
        <v>3</v>
      </c>
      <c r="J221" s="2">
        <v>1.24</v>
      </c>
      <c r="K221" s="2">
        <v>1</v>
      </c>
      <c r="L221" s="2">
        <v>3</v>
      </c>
    </row>
    <row r="222" spans="1:12" x14ac:dyDescent="0.25">
      <c r="A222" s="1">
        <v>222</v>
      </c>
      <c r="B222" s="1" t="s">
        <v>232</v>
      </c>
      <c r="C222" s="2">
        <v>3</v>
      </c>
      <c r="D222" s="2">
        <v>3</v>
      </c>
      <c r="E222" s="2">
        <v>1.125</v>
      </c>
      <c r="F222" s="2">
        <v>2</v>
      </c>
      <c r="G222" s="2">
        <v>2</v>
      </c>
      <c r="H222" s="2">
        <v>3</v>
      </c>
      <c r="I222" s="2">
        <v>3</v>
      </c>
      <c r="J222" s="2">
        <v>1.125</v>
      </c>
      <c r="K222" s="2">
        <v>2</v>
      </c>
      <c r="L222" s="2">
        <v>2</v>
      </c>
    </row>
    <row r="223" spans="1:12" x14ac:dyDescent="0.25">
      <c r="A223" s="1">
        <v>223</v>
      </c>
      <c r="B223" s="1" t="s">
        <v>233</v>
      </c>
      <c r="C223" s="2">
        <f>110/25.4</f>
        <v>4.3307086614173231</v>
      </c>
      <c r="D223" s="2">
        <f>100/25.4</f>
        <v>3.9370078740157481</v>
      </c>
      <c r="E223" s="2">
        <f>32/25.4</f>
        <v>1.2598425196850394</v>
      </c>
      <c r="F223" s="2">
        <f>60/25.4</f>
        <v>2.3622047244094491</v>
      </c>
      <c r="G223" s="2">
        <f>50/25.4</f>
        <v>1.9685039370078741</v>
      </c>
      <c r="H223" s="2">
        <f>110/25.4</f>
        <v>4.3307086614173231</v>
      </c>
      <c r="I223" s="2">
        <f>100/25.4</f>
        <v>3.9370078740157481</v>
      </c>
      <c r="J223" s="2">
        <f>32/25.4</f>
        <v>1.2598425196850394</v>
      </c>
      <c r="K223" s="2">
        <f>60/25.4</f>
        <v>2.3622047244094491</v>
      </c>
      <c r="L223" s="2">
        <f>50/25.4</f>
        <v>1.9685039370078741</v>
      </c>
    </row>
    <row r="224" spans="1:12" x14ac:dyDescent="0.25">
      <c r="A224" s="1">
        <v>224</v>
      </c>
      <c r="B224" s="1" t="s">
        <v>234</v>
      </c>
      <c r="C224" s="2">
        <v>4</v>
      </c>
      <c r="D224" s="2">
        <v>2.5</v>
      </c>
      <c r="E224" s="2">
        <v>1.25</v>
      </c>
      <c r="F224" s="2">
        <v>2</v>
      </c>
      <c r="G224" s="2">
        <v>2</v>
      </c>
      <c r="H224" s="2">
        <v>4</v>
      </c>
      <c r="I224" s="2">
        <v>2.5</v>
      </c>
      <c r="J224" s="2">
        <v>1.25</v>
      </c>
      <c r="K224" s="2">
        <v>2</v>
      </c>
      <c r="L224" s="2">
        <v>2</v>
      </c>
    </row>
    <row r="225" spans="1:13" x14ac:dyDescent="0.25">
      <c r="A225" s="1">
        <v>225</v>
      </c>
      <c r="B225" s="1" t="s">
        <v>235</v>
      </c>
      <c r="C225" s="2">
        <v>5.9055</v>
      </c>
      <c r="D225" s="2">
        <v>5.1181000000000001</v>
      </c>
      <c r="E225" s="2">
        <v>1.5748</v>
      </c>
      <c r="F225" s="2">
        <v>1.9684999999999999</v>
      </c>
      <c r="G225" s="2">
        <v>1.9684999999999999</v>
      </c>
      <c r="H225" s="2">
        <v>5.9055</v>
      </c>
      <c r="I225" s="2">
        <v>5.1181000000000001</v>
      </c>
      <c r="J225" s="2">
        <v>1.5748</v>
      </c>
      <c r="K225" s="2">
        <v>1.9684999999999999</v>
      </c>
      <c r="L225" s="2">
        <v>1.9684999999999999</v>
      </c>
    </row>
    <row r="226" spans="1:13" x14ac:dyDescent="0.25">
      <c r="A226" s="1">
        <v>226</v>
      </c>
      <c r="B226" s="1" t="s">
        <v>236</v>
      </c>
      <c r="C226" s="2">
        <v>3</v>
      </c>
      <c r="D226" s="2">
        <v>3</v>
      </c>
      <c r="E226" s="2">
        <v>1.25</v>
      </c>
      <c r="F226" s="2">
        <v>1.625</v>
      </c>
      <c r="G226" s="2">
        <v>2</v>
      </c>
      <c r="H226" s="2">
        <v>3</v>
      </c>
      <c r="I226" s="2">
        <v>3</v>
      </c>
      <c r="J226" s="2">
        <v>1.25</v>
      </c>
      <c r="K226" s="2">
        <v>1.625</v>
      </c>
      <c r="L226" s="2">
        <v>2</v>
      </c>
    </row>
    <row r="227" spans="1:13" x14ac:dyDescent="0.25">
      <c r="A227" s="1">
        <v>227</v>
      </c>
      <c r="B227" s="1" t="s">
        <v>237</v>
      </c>
      <c r="C227" s="2">
        <v>4</v>
      </c>
      <c r="D227" s="2">
        <v>4</v>
      </c>
      <c r="E227" s="2">
        <v>1.125</v>
      </c>
      <c r="F227" s="2">
        <v>2.5625</v>
      </c>
      <c r="G227" s="2">
        <v>2</v>
      </c>
      <c r="H227" s="2">
        <v>4</v>
      </c>
      <c r="I227" s="2">
        <v>4</v>
      </c>
      <c r="J227" s="2">
        <v>1.125</v>
      </c>
      <c r="K227" s="2">
        <v>2.5625</v>
      </c>
      <c r="L227" s="2">
        <v>3</v>
      </c>
      <c r="M227" s="1" t="s">
        <v>239</v>
      </c>
    </row>
    <row r="228" spans="1:13" x14ac:dyDescent="0.25">
      <c r="A228" s="1">
        <v>228</v>
      </c>
      <c r="B228" s="1" t="s">
        <v>240</v>
      </c>
      <c r="C228" s="2">
        <v>2.75</v>
      </c>
      <c r="D228" s="2">
        <v>3</v>
      </c>
      <c r="E228" s="2">
        <v>1.0625</v>
      </c>
      <c r="F228" s="2">
        <v>1.78125</v>
      </c>
      <c r="G228" s="2">
        <v>2</v>
      </c>
      <c r="H228" s="2">
        <v>2.75</v>
      </c>
      <c r="I228" s="2">
        <v>3</v>
      </c>
      <c r="J228" s="2">
        <v>1.0625</v>
      </c>
      <c r="K228" s="2">
        <v>1.78125</v>
      </c>
      <c r="L228" s="2">
        <v>2</v>
      </c>
      <c r="M228" s="1" t="s">
        <v>241</v>
      </c>
    </row>
    <row r="229" spans="1:13" x14ac:dyDescent="0.25">
      <c r="A229" s="1">
        <v>229</v>
      </c>
      <c r="B229" s="1" t="s">
        <v>242</v>
      </c>
      <c r="C229" s="2">
        <v>4</v>
      </c>
      <c r="D229" s="2">
        <v>4</v>
      </c>
      <c r="E229" s="2">
        <v>1.25</v>
      </c>
      <c r="F229" s="2">
        <v>2.375</v>
      </c>
      <c r="G229" s="2">
        <v>2</v>
      </c>
      <c r="H229" s="2">
        <v>4</v>
      </c>
      <c r="I229" s="2">
        <v>4</v>
      </c>
      <c r="J229" s="2">
        <v>1.25</v>
      </c>
      <c r="K229" s="2">
        <v>2.375</v>
      </c>
      <c r="L229" s="2">
        <v>2</v>
      </c>
      <c r="M229" s="1" t="s">
        <v>243</v>
      </c>
    </row>
    <row r="230" spans="1:13" x14ac:dyDescent="0.25">
      <c r="A230" s="1">
        <v>230</v>
      </c>
      <c r="B230" s="1" t="s">
        <v>244</v>
      </c>
      <c r="C230" s="2">
        <v>3</v>
      </c>
      <c r="D230" s="2">
        <v>3</v>
      </c>
      <c r="E230" s="2">
        <v>1</v>
      </c>
      <c r="F230" s="2">
        <v>2</v>
      </c>
      <c r="G230" s="2">
        <v>2</v>
      </c>
      <c r="H230" s="2">
        <v>3</v>
      </c>
      <c r="I230" s="2">
        <v>3</v>
      </c>
      <c r="J230" s="2">
        <v>1</v>
      </c>
      <c r="K230" s="2">
        <v>2</v>
      </c>
      <c r="L230" s="2">
        <v>2</v>
      </c>
      <c r="M230" s="19">
        <v>45391</v>
      </c>
    </row>
    <row r="231" spans="1:13" x14ac:dyDescent="0.25">
      <c r="A231" s="1">
        <v>231</v>
      </c>
      <c r="B231" s="1" t="s">
        <v>245</v>
      </c>
      <c r="C231" s="2">
        <v>3</v>
      </c>
      <c r="D231" s="2">
        <v>3</v>
      </c>
      <c r="E231" s="2">
        <v>1</v>
      </c>
      <c r="F231" s="2">
        <v>2.5</v>
      </c>
      <c r="G231" s="2">
        <v>2</v>
      </c>
      <c r="H231" s="2">
        <v>3</v>
      </c>
      <c r="I231" s="2">
        <v>3</v>
      </c>
      <c r="J231" s="2">
        <v>1</v>
      </c>
      <c r="K231" s="2">
        <v>2.5</v>
      </c>
      <c r="L231" s="2">
        <v>2</v>
      </c>
      <c r="M231" s="19">
        <v>45488</v>
      </c>
    </row>
    <row r="232" spans="1:13" x14ac:dyDescent="0.25">
      <c r="A232" s="1">
        <v>232</v>
      </c>
      <c r="B232" s="1" t="s">
        <v>246</v>
      </c>
      <c r="C232" s="2">
        <v>3.75</v>
      </c>
      <c r="D232" s="2">
        <v>3</v>
      </c>
      <c r="E232" s="2">
        <v>1.25</v>
      </c>
      <c r="F232" s="2">
        <v>2</v>
      </c>
      <c r="G232" s="2">
        <v>2</v>
      </c>
      <c r="H232" s="2">
        <v>3.75</v>
      </c>
      <c r="I232" s="2">
        <v>3</v>
      </c>
      <c r="J232" s="2">
        <v>1.25</v>
      </c>
      <c r="K232" s="2">
        <v>2</v>
      </c>
      <c r="L232" s="2">
        <v>2</v>
      </c>
      <c r="M232" s="1" t="s">
        <v>247</v>
      </c>
    </row>
    <row r="233" spans="1:13" x14ac:dyDescent="0.25">
      <c r="A233" s="1">
        <v>233</v>
      </c>
      <c r="B233" s="1" t="s">
        <v>248</v>
      </c>
      <c r="C233" s="2">
        <f>100/25.4</f>
        <v>3.9370078740157481</v>
      </c>
      <c r="D233" s="2">
        <f>120/25.4</f>
        <v>4.7244094488188981</v>
      </c>
      <c r="E233" s="2">
        <f>45/25.4</f>
        <v>1.7716535433070868</v>
      </c>
      <c r="F233" s="2">
        <f>55/25.4</f>
        <v>2.1653543307086616</v>
      </c>
      <c r="G233" s="2">
        <f>63.5/25.4</f>
        <v>2.5</v>
      </c>
      <c r="H233" s="2">
        <f>100/25.4</f>
        <v>3.9370078740157481</v>
      </c>
      <c r="I233" s="2">
        <f>120/25.4</f>
        <v>4.7244094488188981</v>
      </c>
      <c r="J233" s="2">
        <f>45/25.4</f>
        <v>1.7716535433070868</v>
      </c>
      <c r="K233" s="2">
        <f>55/25.4</f>
        <v>2.1653543307086616</v>
      </c>
      <c r="L233" s="2">
        <f>63.5/25.4</f>
        <v>2.5</v>
      </c>
      <c r="M233" s="1" t="s">
        <v>249</v>
      </c>
    </row>
    <row r="234" spans="1:13" x14ac:dyDescent="0.25">
      <c r="A234" s="1">
        <v>234</v>
      </c>
      <c r="B234" s="1" t="s">
        <v>250</v>
      </c>
      <c r="C234" s="2">
        <v>3</v>
      </c>
      <c r="D234" s="2">
        <v>3</v>
      </c>
      <c r="E234" s="2">
        <f>35/25.4</f>
        <v>1.3779527559055118</v>
      </c>
      <c r="F234" s="2">
        <v>1.5</v>
      </c>
      <c r="G234" s="2">
        <f>51/25.4</f>
        <v>2.0078740157480315</v>
      </c>
      <c r="H234" s="2">
        <v>3</v>
      </c>
      <c r="I234" s="2">
        <v>3</v>
      </c>
      <c r="J234" s="2">
        <f>35/25.4</f>
        <v>1.3779527559055118</v>
      </c>
      <c r="K234" s="2">
        <v>1.5</v>
      </c>
      <c r="L234" s="2">
        <f>51/25.4</f>
        <v>2.0078740157480315</v>
      </c>
      <c r="M234" s="1" t="s">
        <v>251</v>
      </c>
    </row>
    <row r="235" spans="1:13" x14ac:dyDescent="0.25">
      <c r="A235" s="1">
        <v>235</v>
      </c>
      <c r="B235" s="1" t="s">
        <v>252</v>
      </c>
      <c r="C235" s="2">
        <f>100/25.4</f>
        <v>3.9370078740157481</v>
      </c>
      <c r="D235" s="2">
        <f>100/25.4</f>
        <v>3.9370078740157481</v>
      </c>
      <c r="E235" s="2">
        <f>32/25.4</f>
        <v>1.2598425196850394</v>
      </c>
      <c r="F235" s="2">
        <f>59/25.4</f>
        <v>2.3228346456692917</v>
      </c>
      <c r="G235" s="2">
        <f>50/25.4</f>
        <v>1.9685039370078741</v>
      </c>
      <c r="H235" s="2">
        <f>100/25.4</f>
        <v>3.9370078740157481</v>
      </c>
      <c r="I235" s="2">
        <f>100/25.4</f>
        <v>3.9370078740157481</v>
      </c>
      <c r="J235" s="2">
        <f>32/25.4</f>
        <v>1.2598425196850394</v>
      </c>
      <c r="K235" s="2">
        <f>59/25.4</f>
        <v>2.3228346456692917</v>
      </c>
      <c r="L235" s="2">
        <f>50/25.4</f>
        <v>1.9685039370078741</v>
      </c>
      <c r="M235" s="1" t="s">
        <v>253</v>
      </c>
    </row>
    <row r="236" spans="1:13" x14ac:dyDescent="0.25">
      <c r="A236" s="1">
        <v>236</v>
      </c>
      <c r="B236" s="1" t="s">
        <v>255</v>
      </c>
      <c r="C236" s="2">
        <v>4</v>
      </c>
      <c r="D236" s="2">
        <v>3</v>
      </c>
      <c r="E236" s="2">
        <v>1.25</v>
      </c>
      <c r="F236" s="2">
        <v>2.375</v>
      </c>
      <c r="G236" s="2">
        <v>2</v>
      </c>
      <c r="H236" s="2">
        <v>4</v>
      </c>
      <c r="I236" s="2">
        <v>3</v>
      </c>
      <c r="J236" s="2">
        <v>1.25</v>
      </c>
      <c r="K236" s="2">
        <v>2.375</v>
      </c>
      <c r="L236" s="2">
        <v>2</v>
      </c>
      <c r="M236" s="1" t="s">
        <v>254</v>
      </c>
    </row>
    <row r="237" spans="1:13" x14ac:dyDescent="0.25">
      <c r="A237" s="1">
        <v>237</v>
      </c>
      <c r="B237" s="1" t="s">
        <v>257</v>
      </c>
      <c r="C237" s="2">
        <v>4.25</v>
      </c>
      <c r="D237" s="2">
        <v>5</v>
      </c>
      <c r="E237" s="2">
        <v>1.375</v>
      </c>
      <c r="F237" s="2">
        <v>2.5</v>
      </c>
      <c r="G237" s="2">
        <v>2</v>
      </c>
      <c r="H237" s="2">
        <v>4.25</v>
      </c>
      <c r="I237" s="2">
        <v>5</v>
      </c>
      <c r="J237" s="2">
        <v>1.375</v>
      </c>
      <c r="K237" s="2">
        <v>2.5</v>
      </c>
      <c r="L237" s="2">
        <v>2</v>
      </c>
      <c r="M237" s="1" t="s">
        <v>256</v>
      </c>
    </row>
    <row r="238" spans="1:13" x14ac:dyDescent="0.25">
      <c r="A238" s="1">
        <v>238</v>
      </c>
    </row>
    <row r="239" spans="1:13" x14ac:dyDescent="0.25">
      <c r="A239" s="1">
        <v>239</v>
      </c>
    </row>
    <row r="240" spans="1:13" x14ac:dyDescent="0.25">
      <c r="A240" s="1">
        <v>240</v>
      </c>
    </row>
    <row r="241" spans="1:1" x14ac:dyDescent="0.25">
      <c r="A241" s="1">
        <v>241</v>
      </c>
    </row>
    <row r="242" spans="1:1" x14ac:dyDescent="0.25">
      <c r="A242" s="1">
        <v>242</v>
      </c>
    </row>
    <row r="243" spans="1:1" x14ac:dyDescent="0.25">
      <c r="A243" s="1">
        <v>243</v>
      </c>
    </row>
    <row r="244" spans="1:1" x14ac:dyDescent="0.25">
      <c r="A244" s="1">
        <v>244</v>
      </c>
    </row>
    <row r="245" spans="1:1" x14ac:dyDescent="0.25">
      <c r="A245" s="1">
        <v>245</v>
      </c>
    </row>
    <row r="246" spans="1:1" x14ac:dyDescent="0.25">
      <c r="A246" s="1">
        <v>246</v>
      </c>
    </row>
    <row r="247" spans="1:1" x14ac:dyDescent="0.25">
      <c r="A247" s="1">
        <v>247</v>
      </c>
    </row>
    <row r="248" spans="1:1" x14ac:dyDescent="0.25">
      <c r="A248" s="1">
        <v>248</v>
      </c>
    </row>
    <row r="249" spans="1:1" x14ac:dyDescent="0.25">
      <c r="A249" s="1">
        <v>249</v>
      </c>
    </row>
    <row r="250" spans="1:1" x14ac:dyDescent="0.25">
      <c r="A250" s="1">
        <v>250</v>
      </c>
    </row>
    <row r="251" spans="1:1" x14ac:dyDescent="0.25">
      <c r="A251" s="1">
        <v>251</v>
      </c>
    </row>
    <row r="252" spans="1:1" x14ac:dyDescent="0.25">
      <c r="A252" s="1">
        <v>252</v>
      </c>
    </row>
    <row r="253" spans="1:1" x14ac:dyDescent="0.25">
      <c r="A253" s="1">
        <v>253</v>
      </c>
    </row>
    <row r="254" spans="1:1" x14ac:dyDescent="0.25">
      <c r="A254" s="1">
        <v>254</v>
      </c>
    </row>
    <row r="255" spans="1:1" x14ac:dyDescent="0.25">
      <c r="A255" s="1">
        <v>255</v>
      </c>
    </row>
    <row r="256" spans="1:1" x14ac:dyDescent="0.25">
      <c r="A256" s="1">
        <v>256</v>
      </c>
    </row>
    <row r="257" spans="1:1" x14ac:dyDescent="0.25">
      <c r="A257" s="1">
        <v>257</v>
      </c>
    </row>
    <row r="258" spans="1:1" x14ac:dyDescent="0.25">
      <c r="A258" s="1">
        <v>258</v>
      </c>
    </row>
    <row r="259" spans="1:1" x14ac:dyDescent="0.25">
      <c r="A259" s="1">
        <v>259</v>
      </c>
    </row>
    <row r="260" spans="1:1" x14ac:dyDescent="0.25">
      <c r="A260" s="1">
        <v>260</v>
      </c>
    </row>
  </sheetData>
  <autoFilter ref="A1:L170" xr:uid="{00000000-0009-0000-0000-000000000000}">
    <sortState xmlns:xlrd2="http://schemas.microsoft.com/office/spreadsheetml/2017/richdata2" ref="A2:L260">
      <sortCondition ref="A1:A170"/>
    </sortState>
  </autoFilter>
  <sortState xmlns:xlrd2="http://schemas.microsoft.com/office/spreadsheetml/2017/richdata2" ref="A2:V150">
    <sortCondition ref="B2:B150"/>
  </sortState>
  <dataConsolidate/>
  <conditionalFormatting sqref="A1:XFD1048576">
    <cfRule type="expression" dxfId="2" priority="1">
      <formula>MOD(ROW(),2)=1</formula>
    </cfRule>
  </conditionalFormatting>
  <hyperlinks>
    <hyperlink ref="B129" r:id="rId1" xr:uid="{00000000-0004-0000-0000-000000000000}"/>
    <hyperlink ref="B138" r:id="rId2" xr:uid="{00000000-0004-0000-0000-000001000000}"/>
    <hyperlink ref="B139" r:id="rId3" xr:uid="{00000000-0004-0000-0000-000002000000}"/>
    <hyperlink ref="B140" r:id="rId4" xr:uid="{00000000-0004-0000-0000-000003000000}"/>
    <hyperlink ref="B141" r:id="rId5" xr:uid="{00000000-0004-0000-0000-000004000000}"/>
    <hyperlink ref="B142" r:id="rId6" xr:uid="{00000000-0004-0000-0000-000005000000}"/>
    <hyperlink ref="B143" r:id="rId7" xr:uid="{00000000-0004-0000-0000-000006000000}"/>
    <hyperlink ref="B144" r:id="rId8" xr:uid="{00000000-0004-0000-0000-000007000000}"/>
    <hyperlink ref="B147" r:id="rId9" xr:uid="{00000000-0004-0000-0000-000008000000}"/>
    <hyperlink ref="B148" r:id="rId10" xr:uid="{00000000-0004-0000-0000-000009000000}"/>
    <hyperlink ref="B149" r:id="rId11" xr:uid="{00000000-0004-0000-0000-00000A000000}"/>
    <hyperlink ref="B150" r:id="rId12" xr:uid="{00000000-0004-0000-0000-00000B000000}"/>
    <hyperlink ref="B156" r:id="rId13" xr:uid="{00000000-0004-0000-0000-00000D000000}"/>
    <hyperlink ref="B159" r:id="rId14" xr:uid="{00000000-0004-0000-0000-00000E000000}"/>
    <hyperlink ref="B130" r:id="rId15" xr:uid="{00000000-0004-0000-0000-00000F000000}"/>
    <hyperlink ref="B161" r:id="rId16" xr:uid="{00000000-0004-0000-0000-000010000000}"/>
    <hyperlink ref="B135" r:id="rId17" xr:uid="{00000000-0004-0000-0000-000011000000}"/>
    <hyperlink ref="B162" r:id="rId18" display="Otscon 300 Ton" xr:uid="{00000000-0004-0000-0000-000012000000}"/>
    <hyperlink ref="B163" r:id="rId19" xr:uid="{00000000-0004-0000-0000-000013000000}"/>
    <hyperlink ref="B164" r:id="rId20" xr:uid="{00000000-0004-0000-0000-000014000000}"/>
    <hyperlink ref="B165" r:id="rId21" display="Magna Autotek" xr:uid="{00000000-0004-0000-0000-000015000000}"/>
    <hyperlink ref="B167" r:id="rId22" display="Acemco" xr:uid="{00000000-0004-0000-0000-000016000000}"/>
    <hyperlink ref="B168" r:id="rId23" xr:uid="{00000000-0004-0000-0000-000017000000}"/>
    <hyperlink ref="B169" r:id="rId24" xr:uid="{00000000-0004-0000-0000-000018000000}"/>
    <hyperlink ref="B172" r:id="rId25" xr:uid="{00000000-0004-0000-0000-000019000000}"/>
    <hyperlink ref="B173" r:id="rId26" xr:uid="{00000000-0004-0000-0000-00001A000000}"/>
    <hyperlink ref="B174" r:id="rId27" xr:uid="{00000000-0004-0000-0000-00001B000000}"/>
    <hyperlink ref="B92" r:id="rId28" xr:uid="{00000000-0004-0000-0000-00001C000000}"/>
    <hyperlink ref="B175" r:id="rId29" xr:uid="{00000000-0004-0000-0000-00001D000000}"/>
    <hyperlink ref="B137" r:id="rId30" xr:uid="{00000000-0004-0000-0000-00001E000000}"/>
    <hyperlink ref="B176" r:id="rId31" xr:uid="{00000000-0004-0000-0000-00001F000000}"/>
    <hyperlink ref="B177" r:id="rId32" xr:uid="{00000000-0004-0000-0000-000020000000}"/>
    <hyperlink ref="B178" r:id="rId33" xr:uid="{00000000-0004-0000-0000-000021000000}"/>
    <hyperlink ref="B170" r:id="rId34" xr:uid="{00000000-0004-0000-0000-000022000000}"/>
    <hyperlink ref="B171" r:id="rId35" xr:uid="{00000000-0004-0000-0000-000023000000}"/>
    <hyperlink ref="B179" r:id="rId36" xr:uid="{BEEE2289-6860-470D-90FE-011152F50760}"/>
    <hyperlink ref="B180" r:id="rId37" xr:uid="{5AB3202B-AFEF-4A33-AB1B-9B816C7A5B51}"/>
    <hyperlink ref="B181" r:id="rId38" xr:uid="{E4CD0F44-9BF0-4AA9-87F6-5289F636E3FF}"/>
    <hyperlink ref="B182" r:id="rId39" xr:uid="{05000FE4-1556-4EF3-979C-F39D5069F012}"/>
    <hyperlink ref="B183" r:id="rId40" xr:uid="{17003E3B-BB56-4149-B5F9-A8751D9DD2AC}"/>
    <hyperlink ref="B184" r:id="rId41" display="Electromac 512 Press" xr:uid="{7B7F2B8A-2E2F-411D-B7A7-F27CF36BAD9B}"/>
    <hyperlink ref="B185" r:id="rId42" xr:uid="{3DF2BDBF-2426-47ED-BFE2-905BF0A57AA0}"/>
    <hyperlink ref="B186" r:id="rId43" xr:uid="{CC311A1F-355C-46BA-9FC2-F3A13E7AE728}"/>
    <hyperlink ref="B84" r:id="rId44" xr:uid="{DC7C2F33-314B-432C-BFA1-A65D5EFCE3EF}"/>
    <hyperlink ref="B187" r:id="rId45" xr:uid="{EE0226DD-727C-4712-A4C9-77E756262AE9}"/>
    <hyperlink ref="B33" r:id="rId46" xr:uid="{3F9C96B2-64C6-4BAA-A13C-062E8FE1E47F}"/>
    <hyperlink ref="B110" r:id="rId47" xr:uid="{ADCBCAF7-DCB0-4494-BD5D-161587228A03}"/>
    <hyperlink ref="B188" r:id="rId48" xr:uid="{6915E357-1621-47D6-9FF5-CC88874D9FB1}"/>
    <hyperlink ref="B189" r:id="rId49" xr:uid="{DD663400-DB91-4374-B406-553A183A551C}"/>
    <hyperlink ref="B191" r:id="rId50" xr:uid="{11F0F61E-1C11-410A-8E53-860330827C4D}"/>
    <hyperlink ref="B192" r:id="rId51" xr:uid="{7A2F226D-3BA6-41CB-846B-3A6DD44FD78E}"/>
    <hyperlink ref="B193" r:id="rId52" xr:uid="{4CF3D359-BC7A-4A2A-8A0E-F7104116FDC6}"/>
    <hyperlink ref="B194" r:id="rId53" xr:uid="{D6997367-5170-4857-A890-C633DACAA662}"/>
    <hyperlink ref="B195" r:id="rId54" xr:uid="{C367E215-D304-4D4C-9077-8FCA301F6AF8}"/>
    <hyperlink ref="B196" r:id="rId55" display=" Bopp &amp; Busch (Kamatsu AP142 Press - 300 Ton)" xr:uid="{BB70947F-DD00-42D6-8A3B-B5BB7D16D2BE}"/>
    <hyperlink ref="B197" r:id="rId56" xr:uid="{BD38F3D4-A92B-456C-9381-F17DE18F4096}"/>
    <hyperlink ref="B198" r:id="rId57" xr:uid="{2B1E2E71-9749-4EE1-9225-544E74DBB06C}"/>
    <hyperlink ref="B199" r:id="rId58" xr:uid="{8084F6BD-9262-4867-906E-E602017D88BF}"/>
    <hyperlink ref="B200" r:id="rId59" xr:uid="{FACB7082-DDBC-4296-B637-82BBBA2BA455}"/>
    <hyperlink ref="B201" r:id="rId60" xr:uid="{0B59831C-09A9-467E-B52A-76745CDADEAD}"/>
    <hyperlink ref="B202" r:id="rId61" xr:uid="{503026B3-6EE0-4064-8BED-4472B20290F7}"/>
    <hyperlink ref="B203" r:id="rId62" xr:uid="{BA481511-7C23-4EBB-8E8E-D20501F9E0F2}"/>
    <hyperlink ref="B204" r:id="rId63" xr:uid="{F4C928B3-F326-4E15-8EED-871153D45F1C}"/>
    <hyperlink ref="B205" r:id="rId64" xr:uid="{BF661FF5-63A1-4EDF-BCF2-EB2CEFE19194}"/>
    <hyperlink ref="B86" r:id="rId65" xr:uid="{A7D72D1C-4B7A-4E7B-87A1-14A0CBFEFF25}"/>
    <hyperlink ref="B206" r:id="rId66" display="Tower Bardstown 9" xr:uid="{7F1FF0BE-4FF9-47DF-9E07-CEA28756089C}"/>
    <hyperlink ref="B207" r:id="rId67" xr:uid="{7E6E8C05-CB00-427F-9325-1B8AAC0A5B8B}"/>
    <hyperlink ref="B208" r:id="rId68" xr:uid="{600F5BA8-FA17-4253-93CD-6487198037B6}"/>
    <hyperlink ref="B209" r:id="rId69" xr:uid="{51911BF9-342D-4794-9528-77338D743F01}"/>
    <hyperlink ref="B152" r:id="rId70" xr:uid="{3B752890-17DD-47FA-977F-011710BD555B}"/>
    <hyperlink ref="B37" r:id="rId71" xr:uid="{88081AAE-E19E-4CE0-A2DF-ADCEE92A9B43}"/>
    <hyperlink ref="B46" r:id="rId72" xr:uid="{EAEA772C-DC67-4E27-8F43-FCA305685862}"/>
    <hyperlink ref="B212" r:id="rId73" display="Metalsa Hopkinsville All Presses Except H22 @ H25" xr:uid="{1D9D05D9-CDA0-4FEF-A337-ACAFC2E2E328}"/>
    <hyperlink ref="B211" r:id="rId74" display="Metalsa Hopkinsville All Presses Except H22 @ H25" xr:uid="{8664999E-ED2A-4241-A36B-935EB09E9391}"/>
    <hyperlink ref="B213" r:id="rId75" xr:uid="{2741D70B-CE4A-4B39-A466-F0113D02777B}"/>
    <hyperlink ref="B215" r:id="rId76" xr:uid="{CB016DCA-2EE4-431A-8780-5BC7DDF313C6}"/>
    <hyperlink ref="B216" r:id="rId77" xr:uid="{2BC6D94B-2473-4D02-AA7A-6BE3E0F88CDC}"/>
    <hyperlink ref="B217" r:id="rId78" xr:uid="{EE1A137B-CEB5-4B03-8989-F822EDDD8F0E}"/>
    <hyperlink ref="B218" r:id="rId79" xr:uid="{8842BD70-02E0-4A1B-B1FE-87C0E73AD0E6}"/>
    <hyperlink ref="B219" r:id="rId80" xr:uid="{0324BE99-7C0D-4437-A420-37C5B23C89B8}"/>
    <hyperlink ref="B221" r:id="rId81" xr:uid="{29DEB5E1-048C-41D9-9B7A-A239E63748BD}"/>
  </hyperlinks>
  <pageMargins left="0.7" right="0.7" top="0.25" bottom="0.25" header="0.3" footer="0.3"/>
  <pageSetup orientation="portrait" r:id="rId82"/>
  <drawing r:id="rId83"/>
  <legacyDrawing r:id="rId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6"/>
  <sheetViews>
    <sheetView zoomScale="85" zoomScaleNormal="85" workbookViewId="0">
      <selection activeCell="B7" sqref="B7"/>
    </sheetView>
  </sheetViews>
  <sheetFormatPr defaultRowHeight="15" x14ac:dyDescent="0.25"/>
  <cols>
    <col min="1" max="1" width="11" style="1" customWidth="1"/>
    <col min="2" max="2" width="45" style="1" bestFit="1" customWidth="1"/>
    <col min="3" max="3" width="13" style="1" bestFit="1" customWidth="1"/>
    <col min="4" max="4" width="12.140625" style="1" customWidth="1"/>
    <col min="5" max="5" width="15.7109375" style="1" customWidth="1"/>
    <col min="6" max="6" width="18.5703125" style="1" customWidth="1"/>
    <col min="7" max="7" width="9.85546875" style="1" customWidth="1"/>
    <col min="8" max="8" width="12.85546875" style="1" customWidth="1"/>
    <col min="9" max="9" width="12.28515625" style="1" customWidth="1"/>
    <col min="10" max="10" width="15.85546875" style="1" customWidth="1"/>
    <col min="11" max="11" width="18.7109375" style="1" customWidth="1"/>
    <col min="12" max="12" width="11" style="1" customWidth="1"/>
    <col min="13" max="16384" width="9.140625" style="1"/>
  </cols>
  <sheetData>
    <row r="1" spans="2:2" x14ac:dyDescent="0.25">
      <c r="B1" s="3" t="s">
        <v>69</v>
      </c>
    </row>
    <row r="6" spans="2:2" x14ac:dyDescent="0.25">
      <c r="B6" s="1">
        <f>125/25.4</f>
        <v>4.9212598425196852</v>
      </c>
    </row>
    <row r="52" spans="3:12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3:12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3:12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3:12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3:12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3:12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3:12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3:12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3:12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3:12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3:12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3:12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3:12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3:12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3:12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3:12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3:12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3:12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3:12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3:12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3:12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3:12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3:12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3:12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3:12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3:12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3:12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3:12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3:12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3:12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3:12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3:12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3:12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3:12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3:12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3:12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3:12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3:12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3:12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3:12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3:12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3:12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3:12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3:12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3:12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3:12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3:12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3:12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3:12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3:12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3:12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3:12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3:12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3:12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</row>
  </sheetData>
  <conditionalFormatting sqref="A52:XFD1048576">
    <cfRule type="cellIs" dxfId="1" priority="1" operator="lessThan">
      <formula>0.0625</formula>
    </cfRule>
    <cfRule type="expression" dxfId="0" priority="2">
      <formula>MOD(ROW(),2)=1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Mulholland</dc:creator>
  <cp:lastModifiedBy>Joshua Sochanek</cp:lastModifiedBy>
  <cp:lastPrinted>2016-12-13T18:44:55Z</cp:lastPrinted>
  <dcterms:created xsi:type="dcterms:W3CDTF">2013-03-27T11:27:58Z</dcterms:created>
  <dcterms:modified xsi:type="dcterms:W3CDTF">2026-10-28T12:59:05Z</dcterms:modified>
</cp:coreProperties>
</file>